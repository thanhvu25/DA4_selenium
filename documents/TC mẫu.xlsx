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documents\"/>
    </mc:Choice>
  </mc:AlternateContent>
  <xr:revisionPtr revIDLastSave="0" documentId="13_ncr:1_{2E5E5847-0C4A-4C3C-B220-DF0238C87677}" xr6:coauthVersionLast="47" xr6:coauthVersionMax="47" xr10:uidLastSave="{00000000-0000-0000-0000-000000000000}"/>
  <bookViews>
    <workbookView xWindow="-120" yWindow="-120" windowWidth="28320" windowHeight="18240" activeTab="2" xr2:uid="{00000000-000D-0000-FFFF-FFFF00000000}"/>
  </bookViews>
  <sheets>
    <sheet name="Cover" sheetId="2" r:id="rId1"/>
    <sheet name="Test case List" sheetId="1" r:id="rId2"/>
    <sheet name="1. Login" sheetId="4" r:id="rId3"/>
    <sheet name="2. Register" sheetId="5" r:id="rId4"/>
    <sheet name="3. Search" sheetId="6" r:id="rId5"/>
    <sheet name="4. Shopping Cart " sheetId="8" r:id="rId6"/>
    <sheet name="5. Form Validation" sheetId="9" r:id="rId7"/>
    <sheet name="Test Report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0" l="1"/>
  <c r="H4" i="4"/>
  <c r="C8" i="4" s="1"/>
  <c r="H4" i="5"/>
  <c r="H12" i="10" s="1"/>
  <c r="H4" i="6"/>
  <c r="H13" i="10" s="1"/>
  <c r="H4" i="8"/>
  <c r="H14" i="10" s="1"/>
  <c r="H4" i="9"/>
  <c r="C8" i="9" s="1"/>
  <c r="C4" i="5"/>
  <c r="H5" i="5"/>
  <c r="D12" i="10" s="1"/>
  <c r="D5" i="1"/>
  <c r="D4" i="1"/>
  <c r="C3" i="10"/>
  <c r="C4" i="10"/>
  <c r="C5" i="10" s="1"/>
  <c r="H3" i="10"/>
  <c r="H8" i="9"/>
  <c r="H7" i="9"/>
  <c r="F15" i="10" s="1"/>
  <c r="H6" i="9"/>
  <c r="E15" i="10" s="1"/>
  <c r="H5" i="9"/>
  <c r="D15" i="10" s="1"/>
  <c r="C4" i="9"/>
  <c r="H8" i="8"/>
  <c r="G14" i="10" s="1"/>
  <c r="H7" i="8"/>
  <c r="F14" i="10" s="1"/>
  <c r="H6" i="8"/>
  <c r="E14" i="10" s="1"/>
  <c r="H5" i="8"/>
  <c r="D14" i="10" s="1"/>
  <c r="C4" i="8"/>
  <c r="H8" i="6"/>
  <c r="G13" i="10" s="1"/>
  <c r="H7" i="6"/>
  <c r="F13" i="10" s="1"/>
  <c r="H6" i="6"/>
  <c r="E13" i="10" s="1"/>
  <c r="H5" i="6"/>
  <c r="D13" i="10" s="1"/>
  <c r="C4" i="6"/>
  <c r="H8" i="5"/>
  <c r="G12" i="10" s="1"/>
  <c r="H7" i="5"/>
  <c r="F12" i="10" s="1"/>
  <c r="H6" i="5"/>
  <c r="E12" i="10" s="1"/>
  <c r="H8" i="4"/>
  <c r="G11" i="10" s="1"/>
  <c r="H7" i="4"/>
  <c r="F11" i="10" s="1"/>
  <c r="H6" i="4"/>
  <c r="E11" i="10" s="1"/>
  <c r="H5" i="4"/>
  <c r="D11" i="10" s="1"/>
  <c r="C4" i="4"/>
  <c r="C6" i="2"/>
  <c r="G15" i="10" l="1"/>
  <c r="H11" i="10"/>
  <c r="H17" i="10" s="1"/>
  <c r="G17" i="10"/>
  <c r="F17" i="10"/>
  <c r="E17" i="10"/>
  <c r="D17" i="10"/>
  <c r="C8" i="8"/>
  <c r="C8" i="6"/>
  <c r="C8" i="5"/>
  <c r="D20" i="10" l="1"/>
  <c r="D1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EEE91E84-2345-4533-A36B-CE97F250276C}">
      <text>
        <r>
          <rPr>
            <sz val="11"/>
            <color rgb="FF000000"/>
            <rFont val="Calibri"/>
            <family val="2"/>
            <scheme val="minor"/>
          </rPr>
          <t>======
ID#AAABwaVfCpQ
    (2025-12-30 03:41:02)
*A: Add
  M: Modify
  D: Delete</t>
        </r>
      </text>
    </comment>
  </commentList>
</comments>
</file>

<file path=xl/sharedStrings.xml><?xml version="1.0" encoding="utf-8"?>
<sst xmlns="http://schemas.openxmlformats.org/spreadsheetml/2006/main" count="620" uniqueCount="484">
  <si>
    <t>TEST CASE LIST</t>
  </si>
  <si>
    <t>Project Name</t>
  </si>
  <si>
    <t>Project Code</t>
  </si>
  <si>
    <t>Test Environment Setup Description</t>
  </si>
  <si>
    <t>No</t>
  </si>
  <si>
    <t>Function Name</t>
  </si>
  <si>
    <t>Sheet Name</t>
  </si>
  <si>
    <t>Description</t>
  </si>
  <si>
    <t>Pre-Condition</t>
  </si>
  <si>
    <t>Record of change</t>
  </si>
  <si>
    <t>Effective Date</t>
  </si>
  <si>
    <t>Version</t>
  </si>
  <si>
    <t>Change Item</t>
  </si>
  <si>
    <t>*A,D,M</t>
  </si>
  <si>
    <t>Change description</t>
  </si>
  <si>
    <t>Reference</t>
  </si>
  <si>
    <t>TEST CASE</t>
  </si>
  <si>
    <t>Creator</t>
  </si>
  <si>
    <t>ThanhVu</t>
  </si>
  <si>
    <t>Reviewer/Approver</t>
  </si>
  <si>
    <t>Document Code</t>
  </si>
  <si>
    <t>Issue Date</t>
  </si>
  <si>
    <t>Hybrid framework</t>
  </si>
  <si>
    <t>DA4</t>
  </si>
  <si>
    <t>Back to TestReport</t>
  </si>
  <si>
    <t>Total</t>
  </si>
  <si>
    <t>Module Code</t>
  </si>
  <si>
    <t>Pass</t>
  </si>
  <si>
    <t>Tester</t>
  </si>
  <si>
    <t>Fail</t>
  </si>
  <si>
    <t>Untest</t>
  </si>
  <si>
    <t xml:space="preserve">Percent Complete: </t>
  </si>
  <si>
    <t>N/A</t>
  </si>
  <si>
    <t>Test case ID</t>
  </si>
  <si>
    <t>Test Case Name</t>
  </si>
  <si>
    <t>Test Case Steps</t>
  </si>
  <si>
    <t>Test Data</t>
  </si>
  <si>
    <t>Expected Output</t>
  </si>
  <si>
    <t>Bug ID</t>
  </si>
  <si>
    <t>Actual Result</t>
  </si>
  <si>
    <t>Note</t>
  </si>
  <si>
    <t>LOGIN-01</t>
  </si>
  <si>
    <t>LOGIN-02</t>
  </si>
  <si>
    <t>LOGIN-03</t>
  </si>
  <si>
    <t>LOGIN-04</t>
  </si>
  <si>
    <t>LOGIN-05</t>
  </si>
  <si>
    <t>LOGIN-06</t>
  </si>
  <si>
    <t>LOGIN-07</t>
  </si>
  <si>
    <t>LOGIN-08</t>
  </si>
  <si>
    <t>LOGIN-09</t>
  </si>
  <si>
    <t>LOGIN-10</t>
  </si>
  <si>
    <t>REGISTER-01</t>
  </si>
  <si>
    <t>REGISTER-02</t>
  </si>
  <si>
    <t>REGISTER-03</t>
  </si>
  <si>
    <t>REGISTER-04</t>
  </si>
  <si>
    <t>REGISTER-05</t>
  </si>
  <si>
    <t>REGISTER-06</t>
  </si>
  <si>
    <t>REGISTER-07</t>
  </si>
  <si>
    <t>REGISTER-08</t>
  </si>
  <si>
    <t>REGISTER-09</t>
  </si>
  <si>
    <t>REGISTER-10</t>
  </si>
  <si>
    <t>SEARCH-01</t>
  </si>
  <si>
    <t>SEARCH-02</t>
  </si>
  <si>
    <t>SEARCH-03</t>
  </si>
  <si>
    <t>SEARCH-04</t>
  </si>
  <si>
    <t>SEARCH-05</t>
  </si>
  <si>
    <t>SEARCH-06</t>
  </si>
  <si>
    <t>SEARCH-07</t>
  </si>
  <si>
    <t>SEARCH-08</t>
  </si>
  <si>
    <t>SEARCH-09</t>
  </si>
  <si>
    <t>SEARCH-10</t>
  </si>
  <si>
    <t>CART-01</t>
  </si>
  <si>
    <t>CART-02</t>
  </si>
  <si>
    <t>CART-03</t>
  </si>
  <si>
    <t>CART-04</t>
  </si>
  <si>
    <t>CART-05</t>
  </si>
  <si>
    <t>CART-06</t>
  </si>
  <si>
    <t>CART-07</t>
  </si>
  <si>
    <t>CART-08</t>
  </si>
  <si>
    <t>CART-09</t>
  </si>
  <si>
    <t>VALIDATION-01</t>
  </si>
  <si>
    <t>VALIDATION-02</t>
  </si>
  <si>
    <t>VALIDATION-03</t>
  </si>
  <si>
    <t>VALIDATION-04</t>
  </si>
  <si>
    <t>VALIDATION-05</t>
  </si>
  <si>
    <t>VALIDATION-06</t>
  </si>
  <si>
    <t>VALIDATION-07</t>
  </si>
  <si>
    <t>VALIDATION-08</t>
  </si>
  <si>
    <t>VALIDATION-09</t>
  </si>
  <si>
    <t>VALIDATION-10</t>
  </si>
  <si>
    <t>CART-10</t>
  </si>
  <si>
    <t>TEST REPORT</t>
  </si>
  <si>
    <t>Notes</t>
  </si>
  <si>
    <t>Module code</t>
  </si>
  <si>
    <t>Passed</t>
  </si>
  <si>
    <t>Failed</t>
  </si>
  <si>
    <t>Not Avaiable</t>
  </si>
  <si>
    <t>Number of  test cases</t>
  </si>
  <si>
    <t>Sub total</t>
  </si>
  <si>
    <t>Test coverage</t>
  </si>
  <si>
    <t>%</t>
  </si>
  <si>
    <t>Test successful coverage</t>
  </si>
  <si>
    <t>Login</t>
  </si>
  <si>
    <t>Register</t>
  </si>
  <si>
    <t>Search</t>
  </si>
  <si>
    <t>Shopping Cart</t>
  </si>
  <si>
    <t>Form Validation</t>
  </si>
  <si>
    <t>•Trình duyệt: Chrome version 146.0.7680.76
•Thiết bị: CPU Intel Core i7, RAM 32GB
•Hệ điều hành: Windows 11 Pro</t>
  </si>
  <si>
    <t>1. Login</t>
  </si>
  <si>
    <t>2. Register</t>
  </si>
  <si>
    <t>3. Search</t>
  </si>
  <si>
    <t>WEB-LOGIN</t>
  </si>
  <si>
    <t>WEB-REGISTER</t>
  </si>
  <si>
    <t>WEB-SEARCH</t>
  </si>
  <si>
    <t xml:space="preserve">WEB-CART </t>
  </si>
  <si>
    <t>WEB-VALIDATION</t>
  </si>
  <si>
    <t>LOGIN</t>
  </si>
  <si>
    <t>Đăng nhập thành công với tài khoản hợp lệ</t>
  </si>
  <si>
    <t>Kiểm tra tính năng "Ghi nhớ đăng nhập" (Remember me)</t>
  </si>
  <si>
    <t>Đăng nhập thất bại với sai password</t>
  </si>
  <si>
    <t>Đăng nhập thất bại với username không tồn tại</t>
  </si>
  <si>
    <t>Bỏ trống cả username và password</t>
  </si>
  <si>
    <t>Bỏ trống username</t>
  </si>
  <si>
    <t>Bỏ trống password</t>
  </si>
  <si>
    <t>Kiểm tra ẩn/hiện ký tự password</t>
  </si>
  <si>
    <t>Tài khoản bị khóa sau nhiều lần đăng nhập sai</t>
  </si>
  <si>
    <t>Kiểm tra field password không hiển thị dạng plain text trên URL/log</t>
  </si>
  <si>
    <t>Đăng nhập với username/password có khoảng trắng thừa</t>
  </si>
  <si>
    <t>Kiểm tra tính năng "Quên mật khẩu"</t>
  </si>
  <si>
    <t>Truy cập lại trang sau khi đăng xuất bằng nút Back của trình duyệt</t>
  </si>
  <si>
    <t>Kiểm tra giới hạn độ dài ký tự nhập vào username/password</t>
  </si>
  <si>
    <t>LOGIN-11</t>
  </si>
  <si>
    <t>LOGIN-12</t>
  </si>
  <si>
    <t>LOGIN-13</t>
  </si>
  <si>
    <t>LOGIN-14</t>
  </si>
  <si>
    <t>User đã có tài khoản hợp lệ, chưa đăng nhập</t>
  </si>
  <si>
    <t>1. Truy cập trang login
2. Nhập username hợp lệ
3. Nhập password hợp lệ
4. Nhấn nút "Đăng nhập"</t>
  </si>
  <si>
    <t>username: validUser
password: validPass@123</t>
  </si>
  <si>
    <t>Đăng nhập thành công, chuyển hướng đến trang chủ/dashboard, hiển thị tên user</t>
  </si>
  <si>
    <t>User đã có tài khoản hợp lệ</t>
  </si>
  <si>
    <t>1. Truy cập trang login
2. Nhập username hợp lệ
3. Nhập password sai
4. Nhấn "Đăng nhập"</t>
  </si>
  <si>
    <t>username: validUser
password: wrongPass</t>
  </si>
  <si>
    <t>Hệ thống hiển thị thông báo lỗi "Sai tài khoản hoặc mật khẩu", không cho đăng nhập</t>
  </si>
  <si>
    <t>Không có tài khoản này trong hệ thống</t>
  </si>
  <si>
    <t>1. Truy cập trang login
2. Nhập username không tồn tại
3. Nhập password bất kỳ
4. Nhấn "Đăng nhập"</t>
  </si>
  <si>
    <t>username: notExistUser
password: anyPass</t>
  </si>
  <si>
    <t>Hiển thị thông báo lỗi phù hợp, không tiết lộ thông tin username có tồn tại hay không</t>
  </si>
  <si>
    <t>User chưa đăng nhập</t>
  </si>
  <si>
    <t>1. Truy cập trang login
2. Để trống username, password
3. Nhấn "Đăng nhập"</t>
  </si>
  <si>
    <t>username: (trống)
password: (trống)</t>
  </si>
  <si>
    <t>Hiển thị thông báo yêu cầu nhập đầy đủ thông tin (validation lỗi ở cả 2 field)</t>
  </si>
  <si>
    <t>1. Để trống username
2. Nhập password hợp lệ
3. Nhấn "Đăng nhập"</t>
  </si>
  <si>
    <t>username: (trống)
password: validPass@123</t>
  </si>
  <si>
    <t>Hiển thị thông báo lỗi "Vui lòng nhập username", không submit form</t>
  </si>
  <si>
    <t>1. Nhập username hợp lệ
2. Để trống password
3. Nhấn "Đăng nhập"</t>
  </si>
  <si>
    <t>username: validUser
password: (trống)</t>
  </si>
  <si>
    <t>Hiển thị thông báo lỗi "Vui lòng nhập password", không submit form</t>
  </si>
  <si>
    <t>User đang ở trang login</t>
  </si>
  <si>
    <t>1. Nhập password vào ô password
2. Nhấn icon "hiện mật khẩu"
3. Nhấn lại icon để ẩn</t>
  </si>
  <si>
    <t>password: Test@123</t>
  </si>
  <si>
    <t>Password hiển thị dạng ký tự ẩn (***) mặc định; khi bấm icon thì hiện rõ ký tự nhập, bấm lại thì ẩn đi</t>
  </si>
  <si>
    <t>User có tài khoản hợp lệ</t>
  </si>
  <si>
    <t>1. Nhập username/password hợp lệ
2. Tick chọn "Remember me"
3. Đăng nhập thành công
4. Đóng và mở lại trình duyệt, truy cập lại app</t>
  </si>
  <si>
    <t>Remember me: checked</t>
  </si>
  <si>
    <t>Sau khi mở lại, hệ thống vẫn giữ trạng thái đăng nhập, không yêu cầu login lại</t>
  </si>
  <si>
    <t>User có tài khoản hợp lệ, hệ thống có cơ chế khóa tài khoản</t>
  </si>
  <si>
    <t>1. Nhập sai password liên tục đủ số lần quy định (VD 5 lần)
2. Thử đăng nhập lại lần tiếp theo</t>
  </si>
  <si>
    <t>password sai x5 lần</t>
  </si>
  <si>
    <t>Tài khoản bị khóa tạm thời, hiển thị thông báo "Tài khoản đã bị khóa, vui lòng thử lại sau X phút" hoặc liên hệ hỗ trợ</t>
  </si>
  <si>
    <t>1. Đăng nhập với username/password hợp lệ
2. Kiểm tra URL và request sau khi submit</t>
  </si>
  <si>
    <t>Password không xuất hiện dưới dạng plain text trên URL (áp dụng method POST, không lộ thông tin nhạy cảm)</t>
  </si>
  <si>
    <t>1. Nhập username có khoảng trắng đầu/cuối
2. Nhập password hợp lệ
3. Đăng nhập</t>
  </si>
  <si>
    <t>username: " validUser "
password: validPass@123</t>
  </si>
  <si>
    <t>Hệ thống tự động trim khoảng trắng thừa và đăng nhập thành công (hoặc theo đúng spec đã định nghĩa)</t>
  </si>
  <si>
    <t>1. Nhấn link "Quên mật khẩu?"
2. Kiểm tra điều hướng</t>
  </si>
  <si>
    <t>Điều hướng đúng đến trang reset password, hiển thị đầy đủ chức năng</t>
  </si>
  <si>
    <t>User vừa đăng xuất</t>
  </si>
  <si>
    <t>1. Đăng xuất khỏi hệ thống
2. Nhấn nút Back trên trình duyệt</t>
  </si>
  <si>
    <t>Hệ thống không cho phép truy cập lại trang cũ (session đã hết hạn), yêu cầu đăng nhập lại</t>
  </si>
  <si>
    <t>1. Nhập username/password vượt quá giới hạn ký tự cho phép
2. Nhấn "Đăng nhập"</t>
  </si>
  <si>
    <t>username: chuỗi 500 ký tự</t>
  </si>
  <si>
    <t>Hệ thống giới hạn số ký tự nhập vào (maxlength) hoặc hiển thị thông báo lỗi phù hợp</t>
  </si>
  <si>
    <t>Đăng ký thành công với thông tin hợp lệ</t>
  </si>
  <si>
    <t>User chưa có tài khoản, đang ở trang đăng ký</t>
  </si>
  <si>
    <t>1. Truy cập trang đăng ký
2. Nhập đầy đủ thông tin hợp lệ (username/email, password, confirm password...)
3. Nhấn "Đăng ký"</t>
  </si>
  <si>
    <t>username: newUser01
email: newuser01@test.com
password: Test@123
confirmPassword: Test@123</t>
  </si>
  <si>
    <t>Đăng ký thành công, hiển thị thông báo thành công, chuyển hướng đến trang login hoặc trang chủ, tài khoản được lưu vào hệ thống</t>
  </si>
  <si>
    <t>Đăng ký với email/username đã tồn tại</t>
  </si>
  <si>
    <t>Email/username đã có trong hệ thống</t>
  </si>
  <si>
    <t>1. Nhập email/username đã tồn tại
2. Nhập các thông tin còn lại hợp lệ
3. Nhấn "Đăng ký"</t>
  </si>
  <si>
    <t>email: existing@test.com</t>
  </si>
  <si>
    <t>Hiển thị thông báo lỗi "Email/Username đã được sử dụng", không tạo tài khoản mới</t>
  </si>
  <si>
    <t>Bỏ trống các trường bắt buộc</t>
  </si>
  <si>
    <t>User chưa nhập gì</t>
  </si>
  <si>
    <t>1. Để trống toàn bộ các trường
2. Nhấn "Đăng ký"</t>
  </si>
  <si>
    <t>Tất cả trường: (trống)</t>
  </si>
  <si>
    <t>Hiển thị thông báo validate lỗi tại từng trường bắt buộc, không submit form</t>
  </si>
  <si>
    <t>Nhập email sai định dạng</t>
  </si>
  <si>
    <t>User đang ở trang đăng ký</t>
  </si>
  <si>
    <t>1. Nhập email sai định dạng
2. Nhập các trường còn lại hợp lệ
3. Nhấn "Đăng ký"</t>
  </si>
  <si>
    <t>email: userinvalid.com (thiếu @)</t>
  </si>
  <si>
    <t>Hiển thị thông báo lỗi "Email không đúng định dạng", không submit form</t>
  </si>
  <si>
    <t>Password và Confirm Password không khớp</t>
  </si>
  <si>
    <t>1. Nhập password
2. Nhập confirm password khác với password
3. Nhấn "Đăng ký"</t>
  </si>
  <si>
    <t>password: Test@123
confirmPassword: Test@456</t>
  </si>
  <si>
    <t>Hiển thị thông báo lỗi "Mật khẩu xác nhận không khớp", không submit form</t>
  </si>
  <si>
    <t>Password không đủ điều kiện bảo mật (độ dài/ký tự đặc biệt)</t>
  </si>
  <si>
    <t>1. Nhập password yếu (quá ngắn, không có ký tự đặc biệt/số...)
2. Nhấn "Đăng ký"</t>
  </si>
  <si>
    <t>password: 123</t>
  </si>
  <si>
    <t>Hiển thị thông báo lỗi yêu cầu password đáp ứng điều kiện (VD: tối thiểu 8 ký tự, có chữ hoa, số, ký tự đặc biệt)</t>
  </si>
  <si>
    <t>Kiểm tra ẩn/hiện ký tự password và confirm password</t>
  </si>
  <si>
    <t>1. Nhập password và confirm password
2. Nhấn icon hiện mật khẩu ở từng ô
3. Nhấn lại để ẩn</t>
  </si>
  <si>
    <t>Mặc định ẩn ký tự (***); khi bấm icon thì hiện rõ, bấm lại thì ẩn lại, áp dụng đúng cho từng ô riêng biệt</t>
  </si>
  <si>
    <t>Đăng ký với số điện thoại sai định dạng (nếu có field này)</t>
  </si>
  <si>
    <t>1. Nhập số điện thoại sai định dạng (chứa chữ, thiếu số...)
2. Nhấn "Đăng ký"</t>
  </si>
  <si>
    <t>phone: abc123 hoặc 0123</t>
  </si>
  <si>
    <t>Hiển thị thông báo lỗi "Số điện thoại không hợp lệ", không submit form</t>
  </si>
  <si>
    <t>Kiểm tra checkbox điều khoản sử dụng (Terms &amp; Conditions) chưa được tick</t>
  </si>
  <si>
    <t>User đã nhập đầy đủ thông tin hợp lệ nhưng chưa tick điều khoản</t>
  </si>
  <si>
    <t>1. Nhập đầy đủ thông tin hợp lệ
2. Không tick checkbox "Đồng ý điều khoản"
3. Nhấn "Đăng ký"</t>
  </si>
  <si>
    <t>checkbox: unchecked</t>
  </si>
  <si>
    <t>Hiển thị thông báo yêu cầu đồng ý điều khoản trước khi đăng ký, không submit form</t>
  </si>
  <si>
    <t>Kiểm tra giới hạn độ dài ký tự nhập vào các trường</t>
  </si>
  <si>
    <t>1. Nhập dữ liệu vượt quá giới hạn ký tự cho phép ở từng field
2. Nhấn "Đăng ký"</t>
  </si>
  <si>
    <t>Hệ thống giới hạn maxlength hoặc hiển thị thông báo lỗi phù hợp, không submit dữ liệu vượt giới hạn</t>
  </si>
  <si>
    <t>Đăng ký với username/password có khoảng trắng thừa</t>
  </si>
  <si>
    <t>1. Nhập username có khoảng trắng đầu/cuối
2. Nhập các trường còn lại hợp lệ
3. Nhấn "Đăng ký"</t>
  </si>
  <si>
    <t>username: " newUser02 "</t>
  </si>
  <si>
    <t>Hệ thống tự động trim khoảng trắng thừa và đăng ký thành công (hoặc xử lý theo đúng spec đã định nghĩa)</t>
  </si>
  <si>
    <t>Truy cập chức năng khi chưa xác thực email</t>
  </si>
  <si>
    <t>User đăng ký thành công nhưng chưa xác thực email</t>
  </si>
  <si>
    <t>1. Đăng ký tài khoản
2. Không xác thực email
3. Thử đăng nhập vào hệ thống</t>
  </si>
  <si>
    <t>Hệ thống chặn đăng nhập hoặc giới hạn chức năng, hiển thị thông báo yêu cầu xác thực email trước</t>
  </si>
  <si>
    <t>Điều hướng từ trang đăng ký sang trang đăng nhập</t>
  </si>
  <si>
    <t>1. Nhấn link "Đã có tài khoản? Đăng nhập"</t>
  </si>
  <si>
    <t>Điều hướng chính xác đến trang đăng nhập</t>
  </si>
  <si>
    <t>REGISTER-11</t>
  </si>
  <si>
    <t>REGISTER-12</t>
  </si>
  <si>
    <t>REGISTER-13</t>
  </si>
  <si>
    <t>Tìm kiếm thành công với từ khóa hợp lệ, có kết quả</t>
  </si>
  <si>
    <t>User đang ở trang có chức năng tìm kiếm</t>
  </si>
  <si>
    <t>1. Nhập từ khóa hợp lệ vào ô tìm kiếm
2. Nhấn nút Search hoặc Enter</t>
  </si>
  <si>
    <t>keyword: "Laptop"</t>
  </si>
  <si>
    <t>Hệ thống trả về danh sách kết quả phù hợp với từ khóa, hiển thị đúng số lượng/kết quả liên quan</t>
  </si>
  <si>
    <t>Tìm kiếm với từ khóa không tồn tại kết quả</t>
  </si>
  <si>
    <t>User đang ở trang tìm kiếm</t>
  </si>
  <si>
    <t>1. Nhập từ khóa không có trong dữ liệu hệ thống
2. Nhấn Search</t>
  </si>
  <si>
    <t>keyword: "xyzkhongtontai123"</t>
  </si>
  <si>
    <t>Hiển thị thông báo "Không tìm thấy kết quả phù hợp", không hiển thị danh sách sản phẩm/dữ liệu</t>
  </si>
  <si>
    <t>Tìm kiếm khi để trống ô input</t>
  </si>
  <si>
    <t>1. Không nhập gì vào ô tìm kiếm
2. Nhấn nút Search</t>
  </si>
  <si>
    <t>keyword: (trống)</t>
  </si>
  <si>
    <t>Hệ thống hiển thị thông báo yêu cầu nhập từ khóa, hoặc hiển thị toàn bộ danh sách mặc định (tùy theo spec)</t>
  </si>
  <si>
    <t>Tìm kiếm với khoảng trắng thừa đầu/cuối từ khóa</t>
  </si>
  <si>
    <t>1. Nhập từ khóa có khoảng trắng đầu/cuối
2. Nhấn Search</t>
  </si>
  <si>
    <t>keyword: " Laptop "</t>
  </si>
  <si>
    <t>Hệ thống tự động trim khoảng trắng, trả về kết quả giống như tìm kiếm "Laptop"</t>
  </si>
  <si>
    <t>Tìm kiếm không phân biệt hoa/thường</t>
  </si>
  <si>
    <t>1. Nhập từ khóa viết hoa toàn bộ hoặc không đồng nhất hoa/thường
2. Nhấn Search</t>
  </si>
  <si>
    <t>keyword: "LAPTOP" hoặc "LapTop"</t>
  </si>
  <si>
    <t>Kết quả trả về giống như khi tìm kiếm bằng chữ thường "laptop"</t>
  </si>
  <si>
    <t>Tìm kiếm với từ khóa chỉ có khoảng trắng</t>
  </si>
  <si>
    <t>1. Nhập chỉ dấu cách vào ô tìm kiếm
2. Nhấn Search</t>
  </si>
  <si>
    <t>keyword: " "</t>
  </si>
  <si>
    <t>Hệ thống coi như input trống, hiển thị thông báo yêu cầu nhập từ khóa hợp lệ</t>
  </si>
  <si>
    <t>Tìm kiếm với từ khóa vượt quá độ dài cho phép</t>
  </si>
  <si>
    <t>1. Nhập chuỗi từ khóa rất dài vượt giới hạn ký tự
2. Nhấn Search</t>
  </si>
  <si>
    <t>keyword: chuỗi 500 ký tự</t>
  </si>
  <si>
    <t>Hệ thống giới hạn maxlength ô input hoặc hiển thị thông báo lỗi phù hợp, không gây lỗi hệ thống</t>
  </si>
  <si>
    <t>Kiểm tra kết quả tìm kiếm hiển thị đúng số lượng/phân trang</t>
  </si>
  <si>
    <t>User đã tìm kiếm ra danh sách kết quả nhiều hơn 1 trang</t>
  </si>
  <si>
    <t>1. Tìm kiếm từ khóa có nhiều kết quả
2. Kiểm tra số lượng item hiển thị mỗi trang
3. Chuyển sang trang tiếp theo</t>
  </si>
  <si>
    <t>Số lượng kết quả hiển thị đúng theo cấu hình phân trang, dữ liệu ở các trang không trùng lặp, điều hướng trang hoạt động đúng</t>
  </si>
  <si>
    <t>Điều hướng đến trang chi tiết từ kết quả tìm kiếm</t>
  </si>
  <si>
    <t>User đã có danh sách kết quả tìm kiếm</t>
  </si>
  <si>
    <t>1. Tìm kiếm từ khóa hợp lệ
2. Click vào 1 item trong danh sách kết quả</t>
  </si>
  <si>
    <t>keyword: "Laptop" → click item đầu tiên</t>
  </si>
  <si>
    <t>Điều hướng chính xác đến trang chi tiết của item đã chọn, dữ liệu hiển thị đúng với item đã click</t>
  </si>
  <si>
    <t xml:space="preserve">4. Shopping Cart </t>
  </si>
  <si>
    <t>5. Form Validation</t>
  </si>
  <si>
    <t>REGISTER</t>
  </si>
  <si>
    <t>SEARCH</t>
  </si>
  <si>
    <t>SHOPPING CART</t>
  </si>
  <si>
    <t>FORM VALIDATION</t>
  </si>
  <si>
    <t>Thêm sản phẩm vào giỏ hàng thành công</t>
  </si>
  <si>
    <t>User đang ở trang danh sách/chi tiết sản phẩm</t>
  </si>
  <si>
    <t>1. Chọn 1 sản phẩm
2. Nhấn nút "Thêm vào giỏ hàng"
3. Kiểm tra icon giỏ hàng và trang giỏ hàng</t>
  </si>
  <si>
    <t>Product: "Laptop Dell"
Quantity: 1</t>
  </si>
  <si>
    <t>Sản phẩm được thêm vào giỏ hàng thành công, số lượng item trên icon giỏ hàng tăng lên đúng, hiển thị thông báo/toast xác nhận</t>
  </si>
  <si>
    <t>Thêm cùng 1 sản phẩm nhiều lần vào giỏ hàng</t>
  </si>
  <si>
    <t>Sản phẩm đã có sẵn trong giỏ hàng</t>
  </si>
  <si>
    <t>1. Thêm sản phẩm A vào giỏ (lần 1)
2. Quay lại thêm sản phẩm A lần nữa</t>
  </si>
  <si>
    <t>Product: "Laptop Dell" x2 lần thêm</t>
  </si>
  <si>
    <t>Hệ thống gộp số lượng vào cùng 1 dòng sản phẩm (tăng quantity), không tạo dòng trùng lặp trong giỏ hàng</t>
  </si>
  <si>
    <t>Cập nhật số lượng sản phẩm trong giỏ hàng</t>
  </si>
  <si>
    <t>Giỏ hàng đã có ít nhất 1 sản phẩm</t>
  </si>
  <si>
    <t>1. Truy cập trang giỏ hàng
2. Tăng/giảm số lượng sản phẩm bằng nút +/- hoặc nhập trực tiếp
3. Kiểm tra lại thành tiền</t>
  </si>
  <si>
    <t>Quantity: 1 → 3</t>
  </si>
  <si>
    <t>Số lượng được cập nhật chính xác, thành tiền (subtotal) của sản phẩm và tổng tiền giỏ hàng tự động tính lại đúng</t>
  </si>
  <si>
    <t>Xóa sản phẩm khỏi giỏ hàng</t>
  </si>
  <si>
    <t>Giỏ hàng có ít nhất 1 sản phẩm</t>
  </si>
  <si>
    <t>1. Truy cập trang giỏ hàng
2. Nhấn nút "Xóa"/icon thùng rác ở sản phẩm cần xóa
3. Xác nhận (nếu có popup confirm)</t>
  </si>
  <si>
    <t>Product: "Laptop Dell"</t>
  </si>
  <si>
    <t>Sản phẩm bị xóa khỏi danh sách giỏ hàng, tổng tiền và số lượng item được cập nhật lại chính xác</t>
  </si>
  <si>
    <t>Giỏ hàng trống hiển thị đúng trạng thái</t>
  </si>
  <si>
    <t>Giỏ hàng chưa có sản phẩm nào</t>
  </si>
  <si>
    <t>1. Truy cập trang giỏ hàng khi chưa thêm sản phẩm nào</t>
  </si>
  <si>
    <t>Hiển thị thông báo "Giỏ hàng trống", gợi ý quay lại mua sắm, không hiển thị nút "Thanh toán"</t>
  </si>
  <si>
    <t>Nhập số lượng sản phẩm không hợp lệ (0, âm, ký tự)</t>
  </si>
  <si>
    <t>1. Nhập số lượng = 0 hoặc số âm hoặc ký tự chữ vào ô quantity
2. Quan sát phản hồi hệ thống</t>
  </si>
  <si>
    <t>Quantity: 0 / -1 / "abc"</t>
  </si>
  <si>
    <t>Hệ thống validate và từ chối giá trị không hợp lệ, giữ nguyên hoặc reset về giá trị hợp lệ gần nhất (VD: min = 1), hiển thị thông báo lỗi nếu cần</t>
  </si>
  <si>
    <t>Thêm sản phẩm vượt quá số lượng tồn kho</t>
  </si>
  <si>
    <t>Sản phẩm có giới hạn tồn kho</t>
  </si>
  <si>
    <t>1. Nhập/tăng số lượng sản phẩm vượt quá số lượng tồn kho hiện có
2. Nhấn "Thêm vào giỏ" hoặc cập nhật quantity</t>
  </si>
  <si>
    <t>Stock: 5
Quantity nhập: 10</t>
  </si>
  <si>
    <t>Hệ thống hiển thị thông báo "Số lượng vượt quá hàng tồn kho", giới hạn quantity tối đa = số lượng tồn kho</t>
  </si>
  <si>
    <t>Kiểm tra tính đúng của tổng tiền giỏ hàng (Subtotal/Total)</t>
  </si>
  <si>
    <t>Giỏ hàng có nhiều hơn 1 sản phẩm với số lượng khác nhau</t>
  </si>
  <si>
    <t>1. Thêm nhiều sản phẩm với số lượng khác nhau vào giỏ
2. Kiểm tra thành tiền từng dòng và tổng tiền cuối cùng</t>
  </si>
  <si>
    <t>SP1: 2 x 500,000
SP2: 1 x 300,000</t>
  </si>
  <si>
    <t>Thành tiền từng sản phẩm = đơn giá x số lượng; Tổng tiền giỏ hàng = tổng các thành tiền, khớp chính xác với kết quả tính toán mong đợi</t>
  </si>
  <si>
    <t>Giỏ hàng có sản phẩm</t>
  </si>
  <si>
    <t>Giỏ hàng được lưu giữ sau khi đăng xuất và đăng nhập lại</t>
  </si>
  <si>
    <t>User đã đăng nhập và có sản phẩm trong giỏ hàng</t>
  </si>
  <si>
    <t>1. Thêm sản phẩm vào giỏ
2. Đăng xuất
3. Đăng nhập lại bằng cùng tài khoản
4. Kiểm tra giỏ hàng</t>
  </si>
  <si>
    <t>Product đã thêm trước đó</t>
  </si>
  <si>
    <t>Giỏ hàng vẫn giữ nguyên các sản phẩm đã thêm trước khi đăng xuất (đối với hệ thống lưu cart theo tài khoản)</t>
  </si>
  <si>
    <t>Giỏ hàng của Guest (chưa đăng nhập) được giữ khi F5/reload trang</t>
  </si>
  <si>
    <t>User chưa đăng nhập, đã thêm sản phẩm vào giỏ</t>
  </si>
  <si>
    <t>1. Thêm sản phẩm vào giỏ khi chưa đăng nhập
2. Reload (F5) lại trang</t>
  </si>
  <si>
    <t>Giỏ hàng vẫn giữ nguyên dữ liệu sau khi reload (nếu hệ thống lưu cart qua localStorage/session)</t>
  </si>
  <si>
    <t>Điều hướng từ giỏ hàng sang trang thanh toán (Checkout)</t>
  </si>
  <si>
    <t>1. Truy cập trang giỏ hàng
2. Nhấn nút "Tiến hành thanh toán"</t>
  </si>
  <si>
    <t>Điều hướng chính xác đến trang Checkout, thông tin sản phẩm/tổng tiền được truyền đúng sang trang thanh toán</t>
  </si>
  <si>
    <t>Sản phẩm hết hàng khi đang nằm trong giỏ</t>
  </si>
  <si>
    <t>Sản phẩm trong giỏ hàng bị hết hàng (do hệ thống cập nhật tồn kho)</t>
  </si>
  <si>
    <t>1. Sản phẩm trong giỏ chuyển trạng thái hết hàng
2. Truy cập lại trang giỏ hàng</t>
  </si>
  <si>
    <t>Product status: Out of stock</t>
  </si>
  <si>
    <t>Hệ thống hiển thị cảnh báo sản phẩm hết hàng, disable/loại bỏ khỏi phần tính tổng tiền, không cho phép thanh toán sản phẩm đó</t>
  </si>
  <si>
    <t>Kiểm tra dữ liệu hiển thị chi tiết từng sản phẩm trong giỏ</t>
  </si>
  <si>
    <t>1. Truy cập trang giỏ hàng
2. Kiểm tra thông tin hiển thị: tên, hình ảnh, đơn giá, số lượng, thành tiền của từng sản phẩm</t>
  </si>
  <si>
    <t>Thông tin hiển thị (tên, ảnh, giá, số lượng, thành tiền) khớp chính xác với dữ liệu thực tế của sản phẩm đã thêm</t>
  </si>
  <si>
    <t>CART-11</t>
  </si>
  <si>
    <t>CART-12</t>
  </si>
  <si>
    <t>CART-13</t>
  </si>
  <si>
    <t>Bỏ trống trường bắt buộc (Required field)</t>
  </si>
  <si>
    <t>User đang ở trang có form nhập liệu</t>
  </si>
  <si>
    <t>1. Để trống 1 hoặc nhiều trường bắt buộc (có dấu *)
2. Nhấn nút Submit</t>
  </si>
  <si>
    <t>Field: Họ tên = (trống)</t>
  </si>
  <si>
    <t>Hiển thị thông báo lỗi "Trường này là bắt buộc" ngay tại field tương ứng, không cho submit form</t>
  </si>
  <si>
    <t>User đang ở form có field email</t>
  </si>
  <si>
    <t>1. Nhập email sai định dạng
2. Nhấn Submit hoặc rời khỏi field (blur)</t>
  </si>
  <si>
    <t>email: "abc.com", "abc@", "abc@@test.com"</t>
  </si>
  <si>
    <t>Hiển thị thông báo lỗi "Email không đúng định dạng", không cho submit form</t>
  </si>
  <si>
    <t>Nhập số điện thoại sai định dạng</t>
  </si>
  <si>
    <t>User đang ở form có field số điện thoại</t>
  </si>
  <si>
    <t>1. Nhập số điện thoại chứa chữ, thiếu số, hoặc sai độ dài
2. Nhấn Submit</t>
  </si>
  <si>
    <t>phone: "abc123", "0123", "0912345" (thiếu số)</t>
  </si>
  <si>
    <t>Hiển thị thông báo lỗi "Số điện thoại không hợp lệ", không cho submit form</t>
  </si>
  <si>
    <t>Nhập dữ liệu vượt quá độ dài cho phép (Max length)</t>
  </si>
  <si>
    <t>User đang ở form nhập liệu</t>
  </si>
  <si>
    <t>1. Nhập dữ liệu vượt quá số ký tự tối đa cho phép của field
2. Nhấn Submit</t>
  </si>
  <si>
    <t>Field: Họ tên = chuỗi 500 ký tự</t>
  </si>
  <si>
    <t>Hệ thống giới hạn số ký tự nhập vào (maxlength chặn không cho gõ thêm) hoặc hiển thị lỗi "Vượt quá độ dài cho phép"</t>
  </si>
  <si>
    <t>Nhập dữ liệu ít hơn độ dài tối thiểu (Min length)</t>
  </si>
  <si>
    <t>User đang ở form có field yêu cầu độ dài tối thiểu (VD: password)</t>
  </si>
  <si>
    <t>1. Nhập dữ liệu ít hơn số ký tự tối thiểu quy định
2. Nhấn Submit</t>
  </si>
  <si>
    <t>password: "123" (yêu cầu tối thiểu 8 ký tự)</t>
  </si>
  <si>
    <t>Hiển thị thông báo lỗi "Tối thiểu X ký tự", không cho submit form</t>
  </si>
  <si>
    <t>Nhập ký tự đặc biệt/số vào field chỉ cho phép chữ</t>
  </si>
  <si>
    <t>User đang ở form có field dạng text-only (VD: Họ tên)</t>
  </si>
  <si>
    <t>1. Nhập số hoặc ký tự đặc biệt vào field chỉ cho phép chữ cái
2. Nhấn Submit</t>
  </si>
  <si>
    <t>Field: Họ tên = "Nguyen123!@#"</t>
  </si>
  <si>
    <t>Hiển thị thông báo lỗi "Chỉ được nhập chữ cái", không cho submit form (tùy theo spec cho phép ký tự gì)</t>
  </si>
  <si>
    <t>Nhập ký tự chữ vào field chỉ cho phép số</t>
  </si>
  <si>
    <t>User đang ở form có field dạng number-only (VD: tuổi, số lượng)</t>
  </si>
  <si>
    <t>1. Nhập chữ cái vào field chỉ cho phép số
2. Nhấn Submit</t>
  </si>
  <si>
    <t>Field: Tuổi = "abc"</t>
  </si>
  <si>
    <t>Hệ thống chặn không cho nhập ký tự chữ, hoặc hiển thị thông báo lỗi "Chỉ được nhập số"</t>
  </si>
  <si>
    <t>Nhập ngày tháng sai định dạng / không hợp lệ</t>
  </si>
  <si>
    <t>User đang ở form có field ngày tháng (VD: ngày sinh)</t>
  </si>
  <si>
    <t>1. Nhập ngày tháng sai định dạng hoặc không tồn tại
2. Nhấn Submit</t>
  </si>
  <si>
    <t>date: "32/13/2025", "31/02/2025"</t>
  </si>
  <si>
    <t>Hiển thị thông báo lỗi "Ngày không hợp lệ", không cho submit form</t>
  </si>
  <si>
    <t>Chọn ngày sinh khiến tuổi không hợp lệ (business rule)</t>
  </si>
  <si>
    <t>User đang ở form có field ngày sinh với ràng buộc độ tuổi</t>
  </si>
  <si>
    <t>1. Chọn ngày sinh khiến tuổi &lt; độ tuổi tối thiểu quy định (VD: dưới 18)
2. Nhấn Submit</t>
  </si>
  <si>
    <t>date of birth: hôm nay - 10 năm</t>
  </si>
  <si>
    <t>Hiển thị thông báo lỗi "Bạn phải đủ 18 tuổi trở lên", không cho submit form</t>
  </si>
  <si>
    <t>Nhập khoảng trắng thừa ở đầu/cuối input</t>
  </si>
  <si>
    <t>1. Nhập dữ liệu có khoảng trắng thừa ở đầu/cuối
2. Nhấn Submit</t>
  </si>
  <si>
    <t>Field: Họ tên = " Nguyen Van A "</t>
  </si>
  <si>
    <t>Hệ thống tự động trim khoảng trắng thừa trước khi lưu/submit, dữ liệu lưu vào hệ thống không có khoảng trắng thừa</t>
  </si>
  <si>
    <t>Nhập chỉ toàn khoảng trắng vào field bắt buộc</t>
  </si>
  <si>
    <t>1. Nhập chỉ dấu cách vào field bắt buộc
2. Nhấn Submit</t>
  </si>
  <si>
    <t>Field: Họ tên = " "</t>
  </si>
  <si>
    <t>Hệ thống coi như field trống, hiển thị thông báo lỗi "Trường này là bắt buộc"</t>
  </si>
  <si>
    <t>Kiểm tra validate real-time khi rời khỏi field (on blur)</t>
  </si>
  <si>
    <t>1. Click vào 1 field
2. Nhập dữ liệu không hợp lệ
3. Click ra ngoài field (không submit form)</t>
  </si>
  <si>
    <t>email: "invalidemail"</t>
  </si>
  <si>
    <t>Hệ thống hiển thị thông báo lỗi ngay khi rời khỏi field (không cần đợi submit), giúp user biết lỗi sớm</t>
  </si>
  <si>
    <t>Kiểm tra thông báo lỗi biến mất khi nhập lại dữ liệu hợp lệ</t>
  </si>
  <si>
    <t>Field đang hiển thị lỗi validate</t>
  </si>
  <si>
    <t>1. Field đang báo lỗi do dữ liệu không hợp lệ
2. Sửa lại dữ liệu thành hợp lệ
3. Quan sát thông báo lỗi</t>
  </si>
  <si>
    <t>email: "invalid" → sửa thành "valid@test.com"</t>
  </si>
  <si>
    <t>Thông báo lỗi tự động biến mất ngay khi dữ liệu được sửa hợp lệ (real-time validation)</t>
  </si>
  <si>
    <t>Kiểm tra dropdown/select bắt buộc chưa được chọn</t>
  </si>
  <si>
    <t>User đang ở form có dropdown bắt buộc (VD: Tỉnh/Thành phố)</t>
  </si>
  <si>
    <t>1. Không chọn giá trị nào ở dropdown (giữ mặc định "-- Chọn --")
2. Nhấn Submit</t>
  </si>
  <si>
    <t>Dropdown: (chưa chọn)</t>
  </si>
  <si>
    <t>Hiển thị thông báo lỗi yêu cầu chọn giá trị, không cho submit form</t>
  </si>
  <si>
    <t>Kiểm tra validate khi copy-paste dữ liệu vào field</t>
  </si>
  <si>
    <t>1. Copy 1 đoạn dữ liệu không hợp lệ (VD: có ký tự đặc biệt)
2. Paste vào field
3. Nhấn Submit</t>
  </si>
  <si>
    <t>Paste: "Test@#$%123"</t>
  </si>
  <si>
    <t>Hệ thống validate dữ liệu paste vào giống như khi gõ tay, hiển thị lỗi tương ứng nếu không hợp lệ</t>
  </si>
  <si>
    <t>Kiểm tra giới hạn giá trị số (Min/Max value)</t>
  </si>
  <si>
    <t>User đang ở form có field number với ràng buộc khoảng giá trị</t>
  </si>
  <si>
    <t>1. Nhập giá trị nhỏ hơn Min hoặc lớn hơn Max cho phép
2. Nhấn Submit</t>
  </si>
  <si>
    <t>Field: Số lượng, Min=1, Max=100
Nhập: 0 hoặc 150</t>
  </si>
  <si>
    <t>Hiển thị thông báo lỗi "Giá trị phải nằm trong khoảng X-Y", không cho submit form</t>
  </si>
  <si>
    <t>Submit form thành công khi tất cả dữ liệu hợp lệ</t>
  </si>
  <si>
    <t>User đã nhập đầy đủ và đúng định dạng tất cả các trường</t>
  </si>
  <si>
    <t>1. Nhập đầy đủ thông tin hợp lệ vào toàn bộ các trường
2. Nhấn Submit</t>
  </si>
  <si>
    <t>Tất cả field: dữ liệu hợp lệ</t>
  </si>
  <si>
    <t>Form submit thành công, không hiển thị lỗi validate nào, dữ liệu được lưu/xử lý đúng như mong đợi</t>
  </si>
  <si>
    <t>VALIDATION-11</t>
  </si>
  <si>
    <t>VALIDATION-12</t>
  </si>
  <si>
    <t>VALIDATION-13</t>
  </si>
  <si>
    <t>VALIDATION-14</t>
  </si>
  <si>
    <t>VALIDATION-15</t>
  </si>
  <si>
    <t>VALIDATION-16</t>
  </si>
  <si>
    <t>VALIDATION-17</t>
  </si>
  <si>
    <t>Áp dụng bộ lọc trên kết quả tìm kiếm</t>
  </si>
  <si>
    <t>1. Tìm kiếm từ khóa hợp lệ
2. Chọn 1 tiêu chí lọc (VD: thương hiệu, khoảng giá)
3. Áp dụng bộ lọc</t>
  </si>
  <si>
    <t>keyword: "Laptop"
Filter: Brand = "Dell"</t>
  </si>
  <si>
    <t>Kết quả tìm kiếm được lọc thêm theo tiêu chí đã chọn, chỉ hiển thị item vừa khớp từ khóa vừa khớp bộ lọc</t>
  </si>
  <si>
    <t>Áp dụng nhiều tiêu chí lọc cùng lúc trên kết quả tìm kiếm</t>
  </si>
  <si>
    <t>1. Tìm kiếm từ khóa hợp lệ
2. Chọn nhiều tiêu chí lọc (VD: thương hiệu + khoảng giá + đánh giá)
3. Áp dụng bộ lọc</t>
  </si>
  <si>
    <t>keyword: "Laptop"
Filter: Brand="Dell", Price=10-20tr</t>
  </si>
  <si>
    <t>Kết quả trả về thỏa mãn đồng thời từ khóa và tất cả tiêu chí lọc (logic AND), số lượng kết quả chính xác</t>
  </si>
  <si>
    <t>Lọc kết quả tìm kiếm không có dữ liệu phù hợp</t>
  </si>
  <si>
    <t>1. Tìm kiếm từ khóa hợp lệ
2. Áp dụng tổ hợp bộ lọc không có dữ liệu tương ứng</t>
  </si>
  <si>
    <t>keyword: "Laptop"
Filter: Price=1000-2000tr</t>
  </si>
  <si>
    <t>Hiển thị thông báo "Không có kết quả phù hợp", không hiển thị danh sách item</t>
  </si>
  <si>
    <t>Xóa bộ lọc sau khi tìm kiếm (Clear Filter)</t>
  </si>
  <si>
    <t>User đã áp dụng bộ lọc trên kết quả tìm kiếm</t>
  </si>
  <si>
    <t>1. Tìm kiếm từ khóa
2. Áp dụng bộ lọc
3. Nhấn "Xóa bộ lọc"/"Clear all"</t>
  </si>
  <si>
    <t>keyword: "Laptop"
Filter đã áp dụng: Brand="Dell"</t>
  </si>
  <si>
    <t>Bộ lọc được gỡ bỏ, hệ thống hiển thị lại toàn bộ kết quả tìm kiếm theo từ khóa (chưa lọc)</t>
  </si>
  <si>
    <t>Sắp xếp kết quả tìm kiếm (Sort)</t>
  </si>
  <si>
    <t>1. Tìm kiếm từ khóa hợp lệ
2. Chọn tiêu chí sắp xếp (giá tăng/giảm, mới nhất...)</t>
  </si>
  <si>
    <t>keyword: "Laptop"
Sort: Price Ascending</t>
  </si>
  <si>
    <t>Danh sách kết quả tìm kiếm được sắp xếp đúng thứ tự theo tiêu chí đã chọn</t>
  </si>
  <si>
    <t>Kết hợp đồng thời Search + Filter + Sort</t>
  </si>
  <si>
    <t>1. Tìm kiếm từ khóa
2. Áp dụng bộ lọc
3. Áp dụng sắp xếp cùng lúc</t>
  </si>
  <si>
    <t>keyword: "Laptop"
Filter: Brand="Dell"
Sort: Price Ascending</t>
  </si>
  <si>
    <t>Kết quả vừa đúng từ khóa, vừa đúng điều kiện lọc, vừa được sắp xếp chính xác theo tiêu chí đã chọn</t>
  </si>
  <si>
    <t>Giữ nguyên từ khóa tìm kiếm khi áp dụng bộ lọc</t>
  </si>
  <si>
    <t>User đã tìm kiếm và đang xem kết quả</t>
  </si>
  <si>
    <t>1. Tìm kiếm từ khóa hợp lệ
2. Áp dụng bộ lọc
3. Kiểm tra ô tìm kiếm</t>
  </si>
  <si>
    <t>Ô tìm kiếm vẫn giữ nguyên giá trị "Laptop" sau khi áp dụng bộ lọc, không bị reset về trống</t>
  </si>
  <si>
    <t>Bỏ chọn 1 tiêu chí lọc cụ thể khi đang có nhiều bộ lọc</t>
  </si>
  <si>
    <t>User đã áp dụng nhiều bộ lọc trên kết quả tìm kiếm</t>
  </si>
  <si>
    <t>1. Tìm kiếm từ khóa
2. Áp dụng nhiều bộ lọc
3. Bỏ chọn (gỡ tag) 1 tiêu chí lọc cụ thể</t>
  </si>
  <si>
    <t>keyword: "Laptop"
Filter: Brand, Price → bỏ Brand</t>
  </si>
  <si>
    <t>Chỉ tiêu chí lọc đã bỏ chọn bị gỡ, các tiêu chí còn lại và từ khóa tìm kiếm vẫn được giữ nguyên, kết quả cập nhật tương ứng</t>
  </si>
  <si>
    <t>Hiển thị đúng số lượng kết quả sau khi lọc</t>
  </si>
  <si>
    <t>1. Tìm kiếm từ khóa
2. Áp dụng bộ lọc
3. Kiểm tra label số lượng kết quả (VD: "X sản phẩm")</t>
  </si>
  <si>
    <t>keyword: "Laptop"
Filter: Brand="Dell"</t>
  </si>
  <si>
    <t>Số lượng hiển thị khớp chính xác với số lượng item thực tế trả về sau khi lọc</t>
  </si>
  <si>
    <t>SEARCH-11</t>
  </si>
  <si>
    <t>SEARCH-12</t>
  </si>
  <si>
    <t>SEARCH-13</t>
  </si>
  <si>
    <t>SEARCH-14</t>
  </si>
  <si>
    <t>SEARCH-15</t>
  </si>
  <si>
    <t>SEARCH-16</t>
  </si>
  <si>
    <t>SEARCH-17</t>
  </si>
  <si>
    <t>SEARCH-18</t>
  </si>
  <si>
    <t>1.0</t>
  </si>
  <si>
    <t>1,2,3,4,5</t>
  </si>
  <si>
    <t>A</t>
  </si>
  <si>
    <t>Writing TC</t>
  </si>
  <si>
    <t>23/09/26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</si>
</sst>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993300"/>
      <name val="Arial"/>
      <family val="2"/>
    </font>
    <font>
      <sz val="11"/>
      <name val="MS PGothic"/>
      <family val="2"/>
    </font>
    <font>
      <i/>
      <sz val="10"/>
      <color rgb="FF00800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FF0000"/>
      <name val="Arial"/>
      <family val="2"/>
    </font>
    <font>
      <b/>
      <u/>
      <sz val="10"/>
      <color rgb="FF0000FF"/>
      <name val="Arial"/>
      <family val="2"/>
    </font>
    <font>
      <sz val="10"/>
      <color rgb="FF00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rgb="FF00B050"/>
      </patternFill>
    </fill>
    <fill>
      <patternFill patternType="solid">
        <fgColor theme="4" tint="0.79998168889431442"/>
        <bgColor rgb="FF000080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37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1" fontId="4" fillId="2" borderId="0" xfId="0" applyNumberFormat="1" applyFont="1" applyFill="1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/>
    </xf>
    <xf numFmtId="1" fontId="8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>
      <alignment vertical="center"/>
    </xf>
    <xf numFmtId="0" fontId="10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" fontId="1" fillId="2" borderId="11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1" fillId="0" borderId="0" xfId="0" applyFont="1"/>
    <xf numFmtId="0" fontId="1" fillId="0" borderId="0" xfId="0" applyFont="1"/>
    <xf numFmtId="15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4" fillId="2" borderId="14" xfId="0" applyFont="1" applyFill="1" applyBorder="1" applyAlignment="1">
      <alignment horizontal="left"/>
    </xf>
    <xf numFmtId="0" fontId="6" fillId="0" borderId="15" xfId="0" applyFont="1" applyBorder="1"/>
    <xf numFmtId="0" fontId="1" fillId="0" borderId="0" xfId="0" applyFont="1" applyAlignment="1">
      <alignment vertical="center"/>
    </xf>
    <xf numFmtId="164" fontId="1" fillId="0" borderId="25" xfId="0" applyNumberFormat="1" applyFont="1" applyBorder="1" applyAlignment="1">
      <alignment vertical="center"/>
    </xf>
    <xf numFmtId="0" fontId="1" fillId="0" borderId="26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5" borderId="0" xfId="0" applyFont="1" applyFill="1"/>
    <xf numFmtId="0" fontId="6" fillId="5" borderId="0" xfId="0" applyFont="1" applyFill="1" applyAlignment="1">
      <alignment horizontal="left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top"/>
    </xf>
    <xf numFmtId="0" fontId="1" fillId="5" borderId="24" xfId="0" applyFont="1" applyFill="1" applyBorder="1" applyAlignment="1">
      <alignment vertical="top"/>
    </xf>
    <xf numFmtId="0" fontId="1" fillId="5" borderId="24" xfId="0" applyFont="1" applyFill="1" applyBorder="1"/>
    <xf numFmtId="0" fontId="1" fillId="5" borderId="0" xfId="0" applyFont="1" applyFill="1" applyAlignment="1">
      <alignment horizontal="left"/>
    </xf>
    <xf numFmtId="0" fontId="0" fillId="5" borderId="0" xfId="0" applyFill="1"/>
    <xf numFmtId="0" fontId="4" fillId="6" borderId="0" xfId="0" applyFont="1" applyFill="1" applyAlignment="1">
      <alignment horizontal="left"/>
    </xf>
    <xf numFmtId="0" fontId="1" fillId="6" borderId="0" xfId="0" applyFont="1" applyFill="1"/>
    <xf numFmtId="0" fontId="13" fillId="2" borderId="0" xfId="0" applyFont="1" applyFill="1" applyAlignment="1">
      <alignment vertical="top" wrapText="1"/>
    </xf>
    <xf numFmtId="0" fontId="7" fillId="7" borderId="0" xfId="0" applyFont="1" applyFill="1" applyAlignment="1">
      <alignment horizontal="left" vertical="top" wrapText="1"/>
    </xf>
    <xf numFmtId="0" fontId="7" fillId="7" borderId="0" xfId="0" applyFont="1" applyFill="1" applyAlignment="1">
      <alignment horizontal="left" vertical="center" wrapText="1"/>
    </xf>
    <xf numFmtId="0" fontId="14" fillId="8" borderId="27" xfId="0" applyFont="1" applyFill="1" applyBorder="1" applyAlignment="1">
      <alignment horizontal="left" vertical="center" wrapText="1"/>
    </xf>
    <xf numFmtId="0" fontId="3" fillId="8" borderId="27" xfId="0" applyFont="1" applyFill="1" applyBorder="1" applyAlignment="1">
      <alignment horizontal="center" wrapText="1"/>
    </xf>
    <xf numFmtId="0" fontId="3" fillId="8" borderId="28" xfId="0" applyFont="1" applyFill="1" applyBorder="1" applyAlignment="1">
      <alignment horizontal="center" wrapText="1"/>
    </xf>
    <xf numFmtId="0" fontId="7" fillId="8" borderId="29" xfId="0" applyFont="1" applyFill="1" applyBorder="1" applyAlignment="1">
      <alignment horizontal="left" vertical="center" wrapText="1"/>
    </xf>
    <xf numFmtId="0" fontId="1" fillId="8" borderId="30" xfId="0" applyFont="1" applyFill="1" applyBorder="1" applyAlignment="1">
      <alignment horizontal="left" vertical="center" wrapText="1"/>
    </xf>
    <xf numFmtId="0" fontId="7" fillId="8" borderId="29" xfId="0" applyFont="1" applyFill="1" applyBorder="1" applyAlignment="1">
      <alignment horizontal="center" wrapText="1"/>
    </xf>
    <xf numFmtId="0" fontId="3" fillId="8" borderId="31" xfId="0" applyFont="1" applyFill="1" applyBorder="1" applyAlignment="1">
      <alignment horizontal="center" wrapText="1"/>
    </xf>
    <xf numFmtId="0" fontId="7" fillId="8" borderId="32" xfId="0" applyFont="1" applyFill="1" applyBorder="1" applyAlignment="1">
      <alignment horizontal="left" vertical="center" wrapText="1"/>
    </xf>
    <xf numFmtId="0" fontId="7" fillId="8" borderId="33" xfId="0" applyFont="1" applyFill="1" applyBorder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7" fillId="8" borderId="34" xfId="0" applyFont="1" applyFill="1" applyBorder="1" applyAlignment="1">
      <alignment horizontal="right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8" borderId="36" xfId="0" applyFont="1" applyFill="1" applyBorder="1" applyAlignment="1">
      <alignment horizontal="center" wrapText="1"/>
    </xf>
    <xf numFmtId="0" fontId="3" fillId="8" borderId="37" xfId="0" applyFont="1" applyFill="1" applyBorder="1" applyAlignment="1">
      <alignment horizontal="center" wrapText="1"/>
    </xf>
    <xf numFmtId="0" fontId="15" fillId="2" borderId="0" xfId="0" applyFont="1" applyFill="1"/>
    <xf numFmtId="0" fontId="15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6" fillId="9" borderId="38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wrapText="1"/>
    </xf>
    <xf numFmtId="0" fontId="16" fillId="9" borderId="38" xfId="0" applyFont="1" applyFill="1" applyBorder="1" applyAlignment="1">
      <alignment horizontal="center" wrapText="1"/>
    </xf>
    <xf numFmtId="0" fontId="17" fillId="2" borderId="38" xfId="0" quotePrefix="1" applyFont="1" applyFill="1" applyBorder="1" applyAlignment="1">
      <alignment vertical="center" wrapText="1"/>
    </xf>
    <xf numFmtId="0" fontId="15" fillId="0" borderId="0" xfId="0" applyFont="1"/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2" borderId="0" xfId="0" applyFont="1" applyFill="1" applyAlignment="1">
      <alignment vertical="center"/>
    </xf>
    <xf numFmtId="15" fontId="1" fillId="2" borderId="0" xfId="0" applyNumberFormat="1" applyFont="1" applyFill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19" fillId="10" borderId="38" xfId="0" applyFont="1" applyFill="1" applyBorder="1" applyAlignment="1">
      <alignment horizontal="center" vertical="center"/>
    </xf>
    <xf numFmtId="0" fontId="19" fillId="10" borderId="3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49" fontId="1" fillId="2" borderId="38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20" fillId="10" borderId="38" xfId="0" applyFont="1" applyFill="1" applyBorder="1" applyAlignment="1">
      <alignment horizontal="center" vertical="center"/>
    </xf>
    <xf numFmtId="0" fontId="19" fillId="10" borderId="38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center" vertical="center" wrapText="1"/>
    </xf>
    <xf numFmtId="1" fontId="21" fillId="2" borderId="0" xfId="0" applyNumberFormat="1" applyFont="1" applyFill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2" fillId="6" borderId="0" xfId="0" applyFont="1" applyFill="1" applyAlignment="1">
      <alignment horizontal="left"/>
    </xf>
    <xf numFmtId="0" fontId="1" fillId="5" borderId="0" xfId="0" applyFont="1" applyFill="1" applyAlignment="1">
      <alignment horizontal="center" vertical="center"/>
    </xf>
    <xf numFmtId="0" fontId="11" fillId="5" borderId="0" xfId="0" applyFont="1" applyFill="1"/>
    <xf numFmtId="0" fontId="22" fillId="2" borderId="9" xfId="1" applyFont="1" applyFill="1" applyBorder="1" applyAlignment="1">
      <alignment horizontal="left" vertical="center"/>
    </xf>
    <xf numFmtId="0" fontId="13" fillId="6" borderId="0" xfId="0" applyFont="1" applyFill="1" applyAlignment="1">
      <alignment vertical="top" wrapText="1"/>
    </xf>
    <xf numFmtId="0" fontId="15" fillId="5" borderId="0" xfId="0" applyFont="1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4" fillId="5" borderId="22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4" fillId="2" borderId="16" xfId="0" applyFont="1" applyFill="1" applyBorder="1" applyAlignment="1">
      <alignment horizontal="left" vertical="center"/>
    </xf>
    <xf numFmtId="0" fontId="5" fillId="0" borderId="20" xfId="0" applyFont="1" applyBorder="1"/>
    <xf numFmtId="0" fontId="6" fillId="0" borderId="17" xfId="0" applyFont="1" applyBorder="1" applyAlignment="1">
      <alignment horizontal="left" vertical="center"/>
    </xf>
    <xf numFmtId="0" fontId="5" fillId="0" borderId="18" xfId="0" applyFont="1" applyBorder="1"/>
    <xf numFmtId="0" fontId="5" fillId="0" borderId="19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1" fontId="4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/>
    </xf>
    <xf numFmtId="1" fontId="4" fillId="2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2" fillId="6" borderId="0" xfId="0" applyFont="1" applyFill="1" applyAlignment="1">
      <alignment horizontal="center"/>
    </xf>
    <xf numFmtId="0" fontId="6" fillId="2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1047750</xdr:colOff>
      <xdr:row>1</xdr:row>
      <xdr:rowOff>219075</xdr:rowOff>
    </xdr:from>
    <xdr:ext cx="209550" cy="3048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6B19094-1072-4166-AC8B-4459A5F47A60}"/>
            </a:ext>
          </a:extLst>
        </xdr:cNvPr>
        <xdr:cNvSpPr/>
      </xdr:nvSpPr>
      <xdr:spPr>
        <a:xfrm>
          <a:off x="2047875" y="219075"/>
          <a:ext cx="2095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_DA/DA3/Data%20&amp;%20Documents/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case List"/>
      <sheetName val="1. Cập nhật ttcn"/>
      <sheetName val="2. Đăng ký ĐT"/>
      <sheetName val="3. Đề xuất ĐT"/>
      <sheetName val="4. Xem trạng thái đăng ký ĐT"/>
      <sheetName val="5. Xem quy trình hướng dẫn "/>
      <sheetName val="6. Nộp báo cáo tuần"/>
      <sheetName val="7. Nộp BC cuối"/>
      <sheetName val="8. Xem PB"/>
      <sheetName val="9. Xem HĐBV"/>
      <sheetName val="10. Đăng nhập"/>
      <sheetName val="Test Report"/>
    </sheetNames>
    <sheetDataSet>
      <sheetData sheetId="0">
        <row r="4">
          <cell r="G4" t="str">
            <v>ThanhVu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existing@test.com" TargetMode="External"/><Relationship Id="rId1" Type="http://schemas.openxmlformats.org/officeDocument/2006/relationships/hyperlink" Target="mailto:newuser01@test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vali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9544-D77F-4993-8981-1B3B940BC6A7}">
  <dimension ref="A1:Z995"/>
  <sheetViews>
    <sheetView workbookViewId="0">
      <selection activeCell="G6" sqref="G6"/>
    </sheetView>
  </sheetViews>
  <sheetFormatPr defaultColWidth="14.42578125" defaultRowHeight="15" x14ac:dyDescent="0.25"/>
  <cols>
    <col min="1" max="1" width="2.5703125" customWidth="1"/>
    <col min="2" max="2" width="22.42578125" customWidth="1"/>
    <col min="3" max="3" width="10.5703125" customWidth="1"/>
    <col min="4" max="4" width="23.5703125" bestFit="1" customWidth="1"/>
    <col min="5" max="5" width="9.140625" customWidth="1"/>
    <col min="6" max="6" width="35.5703125" customWidth="1"/>
    <col min="7" max="7" width="35.42578125" customWidth="1"/>
    <col min="8" max="17" width="10.28515625" style="49" customWidth="1"/>
    <col min="18" max="26" width="9.140625" style="49" customWidth="1"/>
  </cols>
  <sheetData>
    <row r="1" spans="1:26" s="49" customFormat="1" ht="12.75" customHeight="1" x14ac:dyDescent="0.4">
      <c r="A1" s="4"/>
      <c r="B1" s="4"/>
      <c r="C1" s="4"/>
      <c r="D1" s="4"/>
      <c r="E1" s="4"/>
      <c r="F1" s="4"/>
      <c r="G1" s="4"/>
      <c r="H1" s="103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52.5" customHeight="1" x14ac:dyDescent="0.4">
      <c r="A2" s="4"/>
      <c r="B2" s="112" t="s">
        <v>16</v>
      </c>
      <c r="C2" s="112"/>
      <c r="D2" s="112"/>
      <c r="E2" s="112"/>
      <c r="F2" s="112"/>
      <c r="G2" s="112"/>
      <c r="H2" s="103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s="49" customFormat="1" ht="12.75" customHeight="1" x14ac:dyDescent="0.25">
      <c r="A3" s="42"/>
      <c r="B3" s="50"/>
      <c r="C3" s="43"/>
      <c r="D3" s="42"/>
      <c r="E3" s="42"/>
      <c r="F3" s="5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14.25" customHeight="1" x14ac:dyDescent="0.25">
      <c r="A4" s="42"/>
      <c r="B4" s="35" t="s">
        <v>1</v>
      </c>
      <c r="C4" s="114" t="s">
        <v>22</v>
      </c>
      <c r="D4" s="115"/>
      <c r="E4" s="116"/>
      <c r="F4" s="35" t="s">
        <v>17</v>
      </c>
      <c r="G4" s="36" t="s">
        <v>18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14.25" customHeight="1" x14ac:dyDescent="0.25">
      <c r="A5" s="42"/>
      <c r="B5" s="35" t="s">
        <v>2</v>
      </c>
      <c r="C5" s="114" t="s">
        <v>23</v>
      </c>
      <c r="D5" s="115"/>
      <c r="E5" s="116"/>
      <c r="F5" s="35" t="s">
        <v>19</v>
      </c>
      <c r="G5" s="36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5.75" customHeight="1" x14ac:dyDescent="0.25">
      <c r="A6" s="42"/>
      <c r="B6" s="117" t="s">
        <v>20</v>
      </c>
      <c r="C6" s="119" t="str">
        <f>C5&amp;"_"&amp;"XXX"&amp;"_"&amp;"vx.x"</f>
        <v>DA4_XXX_vx.x</v>
      </c>
      <c r="D6" s="120"/>
      <c r="E6" s="121"/>
      <c r="F6" s="35" t="s">
        <v>21</v>
      </c>
      <c r="G6" s="36" t="s">
        <v>483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3.5" customHeight="1" x14ac:dyDescent="0.25">
      <c r="A7" s="42"/>
      <c r="B7" s="118"/>
      <c r="C7" s="122"/>
      <c r="D7" s="123"/>
      <c r="E7" s="124"/>
      <c r="F7" s="35" t="s">
        <v>11</v>
      </c>
      <c r="G7" s="36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s="49" customFormat="1" ht="12.75" customHeight="1" x14ac:dyDescent="0.25">
      <c r="A8" s="43"/>
      <c r="B8" s="43"/>
      <c r="C8" s="43"/>
      <c r="D8" s="43"/>
      <c r="E8" s="43"/>
      <c r="F8" s="43"/>
      <c r="G8" s="43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s="49" customFormat="1" ht="12.75" customHeight="1" x14ac:dyDescent="0.25">
      <c r="A9" s="42"/>
      <c r="B9" s="42"/>
      <c r="C9" s="42"/>
      <c r="D9" s="42"/>
      <c r="E9" s="42"/>
      <c r="F9" s="42"/>
      <c r="G9" s="42"/>
      <c r="H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s="49" customFormat="1" ht="12.75" customHeight="1" x14ac:dyDescent="0.25">
      <c r="A10" s="42"/>
      <c r="B10" s="113" t="s">
        <v>9</v>
      </c>
      <c r="C10" s="113"/>
      <c r="D10" s="113"/>
      <c r="E10" s="113"/>
      <c r="F10" s="113"/>
      <c r="G10" s="113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2.75" customHeight="1" x14ac:dyDescent="0.25">
      <c r="A11" s="44"/>
      <c r="B11" s="26" t="s">
        <v>10</v>
      </c>
      <c r="C11" s="27" t="s">
        <v>11</v>
      </c>
      <c r="D11" s="27" t="s">
        <v>12</v>
      </c>
      <c r="E11" s="27" t="s">
        <v>13</v>
      </c>
      <c r="F11" s="27" t="s">
        <v>14</v>
      </c>
      <c r="G11" s="28" t="s">
        <v>15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5" customHeight="1" x14ac:dyDescent="0.25">
      <c r="A12" s="45"/>
      <c r="B12" s="29" t="s">
        <v>483</v>
      </c>
      <c r="C12" s="30" t="s">
        <v>479</v>
      </c>
      <c r="D12" s="31" t="s">
        <v>480</v>
      </c>
      <c r="E12" s="32" t="s">
        <v>481</v>
      </c>
      <c r="F12" s="31" t="s">
        <v>482</v>
      </c>
      <c r="G12" s="33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" customHeight="1" x14ac:dyDescent="0.25">
      <c r="A13" s="46"/>
      <c r="B13" s="38"/>
      <c r="C13" s="31"/>
      <c r="D13" s="31"/>
      <c r="E13" s="31"/>
      <c r="F13" s="31"/>
      <c r="G13" s="33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.75" customHeight="1" x14ac:dyDescent="0.25">
      <c r="A14" s="47"/>
      <c r="B14" s="38"/>
      <c r="C14" s="31"/>
      <c r="D14" s="31"/>
      <c r="E14" s="31"/>
      <c r="F14" s="31"/>
      <c r="G14" s="33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2.75" customHeight="1" x14ac:dyDescent="0.25">
      <c r="A15" s="47"/>
      <c r="B15" s="38"/>
      <c r="C15" s="31"/>
      <c r="D15" s="31"/>
      <c r="E15" s="31"/>
      <c r="F15" s="31"/>
      <c r="G15" s="33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2.75" customHeight="1" x14ac:dyDescent="0.25">
      <c r="A16" s="47"/>
      <c r="B16" s="38"/>
      <c r="C16" s="31"/>
      <c r="D16" s="31"/>
      <c r="E16" s="31"/>
      <c r="F16" s="31"/>
      <c r="G16" s="33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2.75" customHeight="1" x14ac:dyDescent="0.25">
      <c r="A17" s="47"/>
      <c r="B17" s="38"/>
      <c r="C17" s="31"/>
      <c r="D17" s="31"/>
      <c r="E17" s="31"/>
      <c r="F17" s="31"/>
      <c r="G17" s="33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2.75" customHeight="1" x14ac:dyDescent="0.25">
      <c r="A18" s="47"/>
      <c r="B18" s="38"/>
      <c r="C18" s="31"/>
      <c r="D18" s="31"/>
      <c r="E18" s="31"/>
      <c r="F18" s="31"/>
      <c r="G18" s="33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2.75" customHeight="1" x14ac:dyDescent="0.25">
      <c r="A19" s="47"/>
      <c r="B19" s="38"/>
      <c r="C19" s="31"/>
      <c r="D19" s="31"/>
      <c r="E19" s="31"/>
      <c r="F19" s="31"/>
      <c r="G19" s="33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2.75" customHeight="1" x14ac:dyDescent="0.25">
      <c r="A20" s="47"/>
      <c r="B20" s="38"/>
      <c r="C20" s="31"/>
      <c r="D20" s="31"/>
      <c r="E20" s="31"/>
      <c r="F20" s="31"/>
      <c r="G20" s="33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2.75" customHeight="1" x14ac:dyDescent="0.25">
      <c r="A21" s="47"/>
      <c r="B21" s="38"/>
      <c r="C21" s="31"/>
      <c r="D21" s="31"/>
      <c r="E21" s="31"/>
      <c r="F21" s="31"/>
      <c r="G21" s="33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2.75" customHeight="1" x14ac:dyDescent="0.25">
      <c r="A22" s="47"/>
      <c r="B22" s="38"/>
      <c r="C22" s="31"/>
      <c r="D22" s="31"/>
      <c r="E22" s="31"/>
      <c r="F22" s="31"/>
      <c r="G22" s="33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2.75" customHeight="1" x14ac:dyDescent="0.25">
      <c r="A23" s="47"/>
      <c r="B23" s="38"/>
      <c r="C23" s="31"/>
      <c r="D23" s="31"/>
      <c r="E23" s="31"/>
      <c r="F23" s="31"/>
      <c r="G23" s="33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2.75" customHeight="1" x14ac:dyDescent="0.25">
      <c r="A24" s="42"/>
      <c r="B24" s="39"/>
      <c r="C24" s="40"/>
      <c r="D24" s="40"/>
      <c r="E24" s="40"/>
      <c r="F24" s="40"/>
      <c r="G24" s="41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s="49" customFormat="1" ht="12.75" customHeight="1" x14ac:dyDescent="0.25">
      <c r="A25" s="42"/>
      <c r="B25" s="48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s="49" customFormat="1" ht="12.75" customHeight="1" x14ac:dyDescent="0.25">
      <c r="A26" s="42"/>
      <c r="B26" s="48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s="49" customFormat="1" ht="12.75" customHeight="1" x14ac:dyDescent="0.25">
      <c r="A27" s="42"/>
      <c r="B27" s="48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s="49" customFormat="1" ht="12.75" customHeight="1" x14ac:dyDescent="0.25">
      <c r="A28" s="42"/>
      <c r="B28" s="48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s="49" customFormat="1" ht="12.75" customHeight="1" x14ac:dyDescent="0.25">
      <c r="A29" s="42"/>
      <c r="B29" s="48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s="49" customFormat="1" ht="12.75" customHeight="1" x14ac:dyDescent="0.25">
      <c r="A30" s="42"/>
      <c r="B30" s="48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s="49" customFormat="1" ht="12.75" customHeight="1" x14ac:dyDescent="0.25">
      <c r="A31" s="42"/>
      <c r="B31" s="48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s="49" customFormat="1" ht="12.75" customHeight="1" x14ac:dyDescent="0.25">
      <c r="A32" s="42"/>
      <c r="B32" s="48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s="49" customFormat="1" ht="12.75" customHeight="1" x14ac:dyDescent="0.25">
      <c r="A33" s="42"/>
      <c r="B33" s="48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s="49" customFormat="1" ht="12.75" customHeight="1" x14ac:dyDescent="0.25">
      <c r="A34" s="42"/>
      <c r="B34" s="48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s="49" customFormat="1" ht="12.75" customHeight="1" x14ac:dyDescent="0.25">
      <c r="A35" s="42"/>
      <c r="B35" s="48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s="49" customFormat="1" ht="12.75" customHeight="1" x14ac:dyDescent="0.25">
      <c r="A36" s="42"/>
      <c r="B36" s="48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s="49" customFormat="1" ht="12.75" customHeight="1" x14ac:dyDescent="0.25">
      <c r="A37" s="42"/>
      <c r="B37" s="48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s="49" customFormat="1" ht="12.75" customHeight="1" x14ac:dyDescent="0.25">
      <c r="A38" s="42"/>
      <c r="B38" s="48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s="49" customFormat="1" ht="12.75" customHeight="1" x14ac:dyDescent="0.25">
      <c r="A39" s="42"/>
      <c r="B39" s="48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s="49" customFormat="1" ht="12.75" customHeight="1" x14ac:dyDescent="0.25">
      <c r="A40" s="42"/>
      <c r="B40" s="48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s="49" customFormat="1" ht="12.75" customHeight="1" x14ac:dyDescent="0.25">
      <c r="A41" s="42"/>
      <c r="B41" s="48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s="49" customFormat="1" ht="12.75" customHeight="1" x14ac:dyDescent="0.25">
      <c r="A42" s="42"/>
      <c r="B42" s="48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s="49" customFormat="1" ht="12.75" customHeight="1" x14ac:dyDescent="0.25">
      <c r="A43" s="42"/>
      <c r="B43" s="48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s="49" customFormat="1" ht="12.75" customHeight="1" x14ac:dyDescent="0.25">
      <c r="A44" s="42"/>
      <c r="B44" s="48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s="49" customFormat="1" ht="12.75" customHeight="1" x14ac:dyDescent="0.25">
      <c r="A45" s="42"/>
      <c r="B45" s="48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s="49" customFormat="1" ht="12.75" customHeight="1" x14ac:dyDescent="0.25">
      <c r="A46" s="42"/>
      <c r="B46" s="48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s="49" customFormat="1" ht="12.75" customHeight="1" x14ac:dyDescent="0.25">
      <c r="A47" s="42"/>
      <c r="B47" s="48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s="49" customFormat="1" ht="12.75" customHeight="1" x14ac:dyDescent="0.25">
      <c r="A48" s="42"/>
      <c r="B48" s="48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s="49" customFormat="1" ht="12.75" customHeight="1" x14ac:dyDescent="0.25">
      <c r="A49" s="42"/>
      <c r="B49" s="48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s="49" customFormat="1" ht="12.75" customHeight="1" x14ac:dyDescent="0.25">
      <c r="A50" s="42"/>
      <c r="B50" s="48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s="49" customFormat="1" ht="12.75" customHeight="1" x14ac:dyDescent="0.25">
      <c r="A51" s="42"/>
      <c r="B51" s="48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s="49" customFormat="1" ht="12.75" customHeight="1" x14ac:dyDescent="0.25">
      <c r="A52" s="42"/>
      <c r="B52" s="48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s="49" customFormat="1" ht="12.75" customHeight="1" x14ac:dyDescent="0.25">
      <c r="A53" s="42"/>
      <c r="B53" s="48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s="49" customFormat="1" ht="12.75" customHeight="1" x14ac:dyDescent="0.25">
      <c r="A54" s="42"/>
      <c r="B54" s="48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s="49" customFormat="1" ht="12.75" customHeight="1" x14ac:dyDescent="0.25">
      <c r="A55" s="42"/>
      <c r="B55" s="48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s="49" customFormat="1" ht="12.75" customHeight="1" x14ac:dyDescent="0.25">
      <c r="A56" s="42"/>
      <c r="B56" s="48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s="49" customFormat="1" ht="12.75" customHeight="1" x14ac:dyDescent="0.25">
      <c r="A57" s="42"/>
      <c r="B57" s="48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s="49" customFormat="1" ht="12.75" customHeight="1" x14ac:dyDescent="0.25">
      <c r="A58" s="42"/>
      <c r="B58" s="48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s="49" customFormat="1" ht="12.75" customHeight="1" x14ac:dyDescent="0.25">
      <c r="A59" s="42"/>
      <c r="B59" s="48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s="49" customFormat="1" ht="12.75" customHeight="1" x14ac:dyDescent="0.25">
      <c r="A60" s="42"/>
      <c r="B60" s="48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s="49" customFormat="1" ht="12.75" customHeight="1" x14ac:dyDescent="0.25">
      <c r="A61" s="42"/>
      <c r="B61" s="48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s="49" customFormat="1" ht="12.75" customHeight="1" x14ac:dyDescent="0.25">
      <c r="A62" s="42"/>
      <c r="B62" s="48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s="49" customFormat="1" ht="12.75" customHeight="1" x14ac:dyDescent="0.25">
      <c r="A63" s="42"/>
      <c r="B63" s="48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s="49" customFormat="1" ht="12.75" customHeight="1" x14ac:dyDescent="0.25">
      <c r="A64" s="42"/>
      <c r="B64" s="48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s="49" customFormat="1" ht="12.75" customHeight="1" x14ac:dyDescent="0.25">
      <c r="A65" s="42"/>
      <c r="B65" s="48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s="49" customFormat="1" ht="12.75" customHeight="1" x14ac:dyDescent="0.25">
      <c r="A66" s="42"/>
      <c r="B66" s="48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s="49" customFormat="1" ht="12.75" customHeight="1" x14ac:dyDescent="0.25">
      <c r="A67" s="42"/>
      <c r="B67" s="48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s="49" customFormat="1" ht="12.75" customHeight="1" x14ac:dyDescent="0.25">
      <c r="A68" s="42"/>
      <c r="B68" s="48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s="49" customFormat="1" ht="12.75" customHeight="1" x14ac:dyDescent="0.25">
      <c r="A69" s="42"/>
      <c r="B69" s="48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s="49" customFormat="1" ht="12.75" customHeight="1" x14ac:dyDescent="0.25">
      <c r="A70" s="42"/>
      <c r="B70" s="48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s="49" customFormat="1" ht="12.75" customHeight="1" x14ac:dyDescent="0.25">
      <c r="A71" s="42"/>
      <c r="B71" s="48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s="49" customFormat="1" ht="12.75" customHeight="1" x14ac:dyDescent="0.25">
      <c r="A72" s="42"/>
      <c r="B72" s="48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s="49" customFormat="1" ht="12.75" customHeight="1" x14ac:dyDescent="0.25">
      <c r="A73" s="42"/>
      <c r="B73" s="48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s="49" customFormat="1" ht="12.75" customHeight="1" x14ac:dyDescent="0.25">
      <c r="A74" s="42"/>
      <c r="B74" s="48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s="49" customFormat="1" ht="12.75" customHeight="1" x14ac:dyDescent="0.25">
      <c r="A75" s="42"/>
      <c r="B75" s="48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s="49" customFormat="1" ht="12.75" customHeight="1" x14ac:dyDescent="0.25">
      <c r="A76" s="42"/>
      <c r="B76" s="48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s="49" customFormat="1" ht="12.75" customHeight="1" x14ac:dyDescent="0.25">
      <c r="A77" s="42"/>
      <c r="B77" s="48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s="49" customFormat="1" ht="12.75" customHeight="1" x14ac:dyDescent="0.25">
      <c r="A78" s="42"/>
      <c r="B78" s="48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s="49" customFormat="1" ht="12.75" customHeight="1" x14ac:dyDescent="0.25">
      <c r="A79" s="42"/>
      <c r="B79" s="48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s="49" customFormat="1" ht="12.75" customHeight="1" x14ac:dyDescent="0.25">
      <c r="A80" s="42"/>
      <c r="B80" s="48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s="49" customFormat="1" ht="12.75" customHeight="1" x14ac:dyDescent="0.25">
      <c r="A81" s="42"/>
      <c r="B81" s="48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s="49" customFormat="1" ht="12.75" customHeight="1" x14ac:dyDescent="0.25">
      <c r="A82" s="42"/>
      <c r="B82" s="48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s="49" customFormat="1" ht="12.75" customHeight="1" x14ac:dyDescent="0.25">
      <c r="A83" s="42"/>
      <c r="B83" s="48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s="49" customFormat="1" ht="12.75" customHeight="1" x14ac:dyDescent="0.25">
      <c r="A84" s="42"/>
      <c r="B84" s="48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s="49" customFormat="1" ht="12.75" customHeight="1" x14ac:dyDescent="0.25">
      <c r="A85" s="42"/>
      <c r="B85" s="48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s="49" customFormat="1" ht="12.75" customHeight="1" x14ac:dyDescent="0.25">
      <c r="A86" s="42"/>
      <c r="B86" s="48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s="49" customFormat="1" ht="12.75" customHeight="1" x14ac:dyDescent="0.25">
      <c r="A87" s="42"/>
      <c r="B87" s="48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s="49" customFormat="1" ht="12.75" customHeight="1" x14ac:dyDescent="0.25">
      <c r="A88" s="42"/>
      <c r="B88" s="48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s="49" customFormat="1" ht="12.75" customHeight="1" x14ac:dyDescent="0.25">
      <c r="A89" s="42"/>
      <c r="B89" s="48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s="49" customFormat="1" ht="12.75" customHeight="1" x14ac:dyDescent="0.25">
      <c r="A90" s="42"/>
      <c r="B90" s="48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s="49" customFormat="1" ht="12.75" customHeight="1" x14ac:dyDescent="0.25">
      <c r="A91" s="42"/>
      <c r="B91" s="48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s="49" customFormat="1" ht="12.75" customHeight="1" x14ac:dyDescent="0.25">
      <c r="A92" s="42"/>
      <c r="B92" s="48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s="49" customFormat="1" ht="12.75" customHeight="1" x14ac:dyDescent="0.25">
      <c r="A93" s="42"/>
      <c r="B93" s="48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s="49" customFormat="1" ht="12.75" customHeight="1" x14ac:dyDescent="0.25">
      <c r="A94" s="42"/>
      <c r="B94" s="48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s="49" customFormat="1" ht="12.75" customHeight="1" x14ac:dyDescent="0.25">
      <c r="A95" s="42"/>
      <c r="B95" s="48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s="49" customFormat="1" ht="12.75" customHeight="1" x14ac:dyDescent="0.25">
      <c r="A96" s="42"/>
      <c r="B96" s="48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s="49" customFormat="1" ht="12.75" customHeight="1" x14ac:dyDescent="0.25">
      <c r="A97" s="42"/>
      <c r="B97" s="48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s="49" customFormat="1" ht="12.75" customHeight="1" x14ac:dyDescent="0.25">
      <c r="A98" s="42"/>
      <c r="B98" s="48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s="49" customFormat="1" ht="12.75" customHeight="1" x14ac:dyDescent="0.25">
      <c r="A99" s="42"/>
      <c r="B99" s="48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s="49" customFormat="1" ht="12.75" customHeight="1" x14ac:dyDescent="0.25">
      <c r="A100" s="42"/>
      <c r="B100" s="48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s="49" customFormat="1" ht="12.75" customHeight="1" x14ac:dyDescent="0.25">
      <c r="A101" s="42"/>
      <c r="B101" s="48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s="49" customFormat="1" ht="12.75" customHeight="1" x14ac:dyDescent="0.25">
      <c r="A102" s="42"/>
      <c r="B102" s="48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s="49" customFormat="1" ht="12.75" customHeight="1" x14ac:dyDescent="0.25">
      <c r="A103" s="42"/>
      <c r="B103" s="48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s="49" customFormat="1" ht="12.75" customHeight="1" x14ac:dyDescent="0.25">
      <c r="A104" s="42"/>
      <c r="B104" s="48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s="49" customFormat="1" ht="12.75" customHeight="1" x14ac:dyDescent="0.25">
      <c r="A105" s="42"/>
      <c r="B105" s="48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s="49" customFormat="1" ht="12.75" customHeight="1" x14ac:dyDescent="0.25">
      <c r="A106" s="42"/>
      <c r="B106" s="48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s="49" customFormat="1" ht="12.75" customHeight="1" x14ac:dyDescent="0.25">
      <c r="A107" s="42"/>
      <c r="B107" s="48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s="49" customFormat="1" ht="12.75" customHeight="1" x14ac:dyDescent="0.25">
      <c r="A108" s="42"/>
      <c r="B108" s="48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s="49" customFormat="1" ht="12.75" customHeight="1" x14ac:dyDescent="0.25">
      <c r="A109" s="42"/>
      <c r="B109" s="48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s="49" customFormat="1" ht="12.75" customHeight="1" x14ac:dyDescent="0.25">
      <c r="A110" s="42"/>
      <c r="B110" s="48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s="49" customFormat="1" ht="12.75" customHeight="1" x14ac:dyDescent="0.25">
      <c r="A111" s="42"/>
      <c r="B111" s="48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s="49" customFormat="1" ht="12.75" customHeight="1" x14ac:dyDescent="0.25">
      <c r="A112" s="42"/>
      <c r="B112" s="48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s="49" customFormat="1" ht="12.75" customHeight="1" x14ac:dyDescent="0.25">
      <c r="A113" s="42"/>
      <c r="B113" s="48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12.75" customHeight="1" x14ac:dyDescent="0.25">
      <c r="A114" s="25"/>
      <c r="B114" s="34"/>
      <c r="C114" s="25"/>
      <c r="D114" s="25"/>
      <c r="E114" s="25"/>
      <c r="F114" s="25"/>
      <c r="G114" s="25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12.75" customHeight="1" x14ac:dyDescent="0.25">
      <c r="A115" s="25"/>
      <c r="B115" s="34"/>
      <c r="C115" s="25"/>
      <c r="D115" s="25"/>
      <c r="E115" s="25"/>
      <c r="F115" s="25"/>
      <c r="G115" s="25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2.75" customHeight="1" x14ac:dyDescent="0.25">
      <c r="A116" s="25"/>
      <c r="B116" s="34"/>
      <c r="C116" s="25"/>
      <c r="D116" s="25"/>
      <c r="E116" s="25"/>
      <c r="F116" s="25"/>
      <c r="G116" s="25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2.75" customHeight="1" x14ac:dyDescent="0.25">
      <c r="A117" s="25"/>
      <c r="B117" s="34"/>
      <c r="C117" s="25"/>
      <c r="D117" s="25"/>
      <c r="E117" s="25"/>
      <c r="F117" s="25"/>
      <c r="G117" s="25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2.75" customHeight="1" x14ac:dyDescent="0.25">
      <c r="A118" s="25"/>
      <c r="B118" s="34"/>
      <c r="C118" s="25"/>
      <c r="D118" s="25"/>
      <c r="E118" s="25"/>
      <c r="F118" s="25"/>
      <c r="G118" s="25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2.75" customHeight="1" x14ac:dyDescent="0.25">
      <c r="A119" s="25"/>
      <c r="B119" s="34"/>
      <c r="C119" s="25"/>
      <c r="D119" s="25"/>
      <c r="E119" s="25"/>
      <c r="F119" s="25"/>
      <c r="G119" s="25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2.75" customHeight="1" x14ac:dyDescent="0.25">
      <c r="A120" s="25"/>
      <c r="B120" s="34"/>
      <c r="C120" s="25"/>
      <c r="D120" s="25"/>
      <c r="E120" s="25"/>
      <c r="F120" s="25"/>
      <c r="G120" s="25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12.75" customHeight="1" x14ac:dyDescent="0.25">
      <c r="A121" s="25"/>
      <c r="B121" s="34"/>
      <c r="C121" s="25"/>
      <c r="D121" s="25"/>
      <c r="E121" s="25"/>
      <c r="F121" s="25"/>
      <c r="G121" s="25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12.75" customHeight="1" x14ac:dyDescent="0.25">
      <c r="A122" s="25"/>
      <c r="B122" s="34"/>
      <c r="C122" s="25"/>
      <c r="D122" s="25"/>
      <c r="E122" s="25"/>
      <c r="F122" s="25"/>
      <c r="G122" s="25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2.75" customHeight="1" x14ac:dyDescent="0.25">
      <c r="A123" s="25"/>
      <c r="B123" s="34"/>
      <c r="C123" s="25"/>
      <c r="D123" s="25"/>
      <c r="E123" s="25"/>
      <c r="F123" s="25"/>
      <c r="G123" s="25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12.75" customHeight="1" x14ac:dyDescent="0.25">
      <c r="A124" s="25"/>
      <c r="B124" s="34"/>
      <c r="C124" s="25"/>
      <c r="D124" s="25"/>
      <c r="E124" s="25"/>
      <c r="F124" s="25"/>
      <c r="G124" s="25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2.75" customHeight="1" x14ac:dyDescent="0.25">
      <c r="A125" s="25"/>
      <c r="B125" s="34"/>
      <c r="C125" s="25"/>
      <c r="D125" s="25"/>
      <c r="E125" s="25"/>
      <c r="F125" s="25"/>
      <c r="G125" s="25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2.75" customHeight="1" x14ac:dyDescent="0.25">
      <c r="A126" s="25"/>
      <c r="B126" s="34"/>
      <c r="C126" s="25"/>
      <c r="D126" s="25"/>
      <c r="E126" s="25"/>
      <c r="F126" s="25"/>
      <c r="G126" s="25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2.75" customHeight="1" x14ac:dyDescent="0.25">
      <c r="A127" s="25"/>
      <c r="B127" s="34"/>
      <c r="C127" s="25"/>
      <c r="D127" s="25"/>
      <c r="E127" s="25"/>
      <c r="F127" s="25"/>
      <c r="G127" s="25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2.75" customHeight="1" x14ac:dyDescent="0.25">
      <c r="A128" s="25"/>
      <c r="B128" s="34"/>
      <c r="C128" s="25"/>
      <c r="D128" s="25"/>
      <c r="E128" s="25"/>
      <c r="F128" s="25"/>
      <c r="G128" s="25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12.75" customHeight="1" x14ac:dyDescent="0.25">
      <c r="A129" s="25"/>
      <c r="B129" s="34"/>
      <c r="C129" s="25"/>
      <c r="D129" s="25"/>
      <c r="E129" s="25"/>
      <c r="F129" s="25"/>
      <c r="G129" s="25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12.75" customHeight="1" x14ac:dyDescent="0.25">
      <c r="A130" s="25"/>
      <c r="B130" s="34"/>
      <c r="C130" s="25"/>
      <c r="D130" s="25"/>
      <c r="E130" s="25"/>
      <c r="F130" s="25"/>
      <c r="G130" s="25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12.75" customHeight="1" x14ac:dyDescent="0.25">
      <c r="A131" s="25"/>
      <c r="B131" s="34"/>
      <c r="C131" s="25"/>
      <c r="D131" s="25"/>
      <c r="E131" s="25"/>
      <c r="F131" s="25"/>
      <c r="G131" s="25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2.75" customHeight="1" x14ac:dyDescent="0.25">
      <c r="A132" s="25"/>
      <c r="B132" s="34"/>
      <c r="C132" s="25"/>
      <c r="D132" s="25"/>
      <c r="E132" s="25"/>
      <c r="F132" s="25"/>
      <c r="G132" s="25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2.75" customHeight="1" x14ac:dyDescent="0.25">
      <c r="A133" s="25"/>
      <c r="B133" s="34"/>
      <c r="C133" s="25"/>
      <c r="D133" s="25"/>
      <c r="E133" s="25"/>
      <c r="F133" s="25"/>
      <c r="G133" s="25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2.75" customHeight="1" x14ac:dyDescent="0.25">
      <c r="A134" s="25"/>
      <c r="B134" s="34"/>
      <c r="C134" s="25"/>
      <c r="D134" s="25"/>
      <c r="E134" s="25"/>
      <c r="F134" s="25"/>
      <c r="G134" s="25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2.75" customHeight="1" x14ac:dyDescent="0.25">
      <c r="A135" s="25"/>
      <c r="B135" s="34"/>
      <c r="C135" s="25"/>
      <c r="D135" s="25"/>
      <c r="E135" s="25"/>
      <c r="F135" s="25"/>
      <c r="G135" s="25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2.75" customHeight="1" x14ac:dyDescent="0.25">
      <c r="A136" s="25"/>
      <c r="B136" s="34"/>
      <c r="C136" s="25"/>
      <c r="D136" s="25"/>
      <c r="E136" s="25"/>
      <c r="F136" s="25"/>
      <c r="G136" s="25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12.75" customHeight="1" x14ac:dyDescent="0.25">
      <c r="A137" s="25"/>
      <c r="B137" s="34"/>
      <c r="C137" s="25"/>
      <c r="D137" s="25"/>
      <c r="E137" s="25"/>
      <c r="F137" s="25"/>
      <c r="G137" s="25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12.75" customHeight="1" x14ac:dyDescent="0.25">
      <c r="A138" s="25"/>
      <c r="B138" s="34"/>
      <c r="C138" s="25"/>
      <c r="D138" s="25"/>
      <c r="E138" s="25"/>
      <c r="F138" s="25"/>
      <c r="G138" s="25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12.75" customHeight="1" x14ac:dyDescent="0.25">
      <c r="A139" s="25"/>
      <c r="B139" s="34"/>
      <c r="C139" s="25"/>
      <c r="D139" s="25"/>
      <c r="E139" s="25"/>
      <c r="F139" s="25"/>
      <c r="G139" s="25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2.75" customHeight="1" x14ac:dyDescent="0.25">
      <c r="A140" s="25"/>
      <c r="B140" s="34"/>
      <c r="C140" s="25"/>
      <c r="D140" s="25"/>
      <c r="E140" s="25"/>
      <c r="F140" s="25"/>
      <c r="G140" s="25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2.75" customHeight="1" x14ac:dyDescent="0.25">
      <c r="A141" s="25"/>
      <c r="B141" s="34"/>
      <c r="C141" s="25"/>
      <c r="D141" s="25"/>
      <c r="E141" s="25"/>
      <c r="F141" s="25"/>
      <c r="G141" s="25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2.75" customHeight="1" x14ac:dyDescent="0.25">
      <c r="A142" s="25"/>
      <c r="B142" s="34"/>
      <c r="C142" s="25"/>
      <c r="D142" s="25"/>
      <c r="E142" s="25"/>
      <c r="F142" s="25"/>
      <c r="G142" s="25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2.75" customHeight="1" x14ac:dyDescent="0.25">
      <c r="A143" s="25"/>
      <c r="B143" s="34"/>
      <c r="C143" s="25"/>
      <c r="D143" s="25"/>
      <c r="E143" s="25"/>
      <c r="F143" s="25"/>
      <c r="G143" s="25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12.75" customHeight="1" x14ac:dyDescent="0.25">
      <c r="A144" s="25"/>
      <c r="B144" s="34"/>
      <c r="C144" s="25"/>
      <c r="D144" s="25"/>
      <c r="E144" s="25"/>
      <c r="F144" s="25"/>
      <c r="G144" s="25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12.75" customHeight="1" x14ac:dyDescent="0.25">
      <c r="A145" s="25"/>
      <c r="B145" s="34"/>
      <c r="C145" s="25"/>
      <c r="D145" s="25"/>
      <c r="E145" s="25"/>
      <c r="F145" s="25"/>
      <c r="G145" s="25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2.75" customHeight="1" x14ac:dyDescent="0.25">
      <c r="A146" s="25"/>
      <c r="B146" s="34"/>
      <c r="C146" s="25"/>
      <c r="D146" s="25"/>
      <c r="E146" s="25"/>
      <c r="F146" s="25"/>
      <c r="G146" s="25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2.75" customHeight="1" x14ac:dyDescent="0.25">
      <c r="A147" s="25"/>
      <c r="B147" s="34"/>
      <c r="C147" s="25"/>
      <c r="D147" s="25"/>
      <c r="E147" s="25"/>
      <c r="F147" s="25"/>
      <c r="G147" s="25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2.75" customHeight="1" x14ac:dyDescent="0.25">
      <c r="A148" s="25"/>
      <c r="B148" s="34"/>
      <c r="C148" s="25"/>
      <c r="D148" s="25"/>
      <c r="E148" s="25"/>
      <c r="F148" s="25"/>
      <c r="G148" s="25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2.75" customHeight="1" x14ac:dyDescent="0.25">
      <c r="A149" s="25"/>
      <c r="B149" s="34"/>
      <c r="C149" s="25"/>
      <c r="D149" s="25"/>
      <c r="E149" s="25"/>
      <c r="F149" s="25"/>
      <c r="G149" s="25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2.75" customHeight="1" x14ac:dyDescent="0.25">
      <c r="A150" s="25"/>
      <c r="B150" s="34"/>
      <c r="C150" s="25"/>
      <c r="D150" s="25"/>
      <c r="E150" s="25"/>
      <c r="F150" s="25"/>
      <c r="G150" s="25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2.75" customHeight="1" x14ac:dyDescent="0.25">
      <c r="A151" s="25"/>
      <c r="B151" s="34"/>
      <c r="C151" s="25"/>
      <c r="D151" s="25"/>
      <c r="E151" s="25"/>
      <c r="F151" s="25"/>
      <c r="G151" s="25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2.75" customHeight="1" x14ac:dyDescent="0.25">
      <c r="A152" s="25"/>
      <c r="B152" s="34"/>
      <c r="C152" s="25"/>
      <c r="D152" s="25"/>
      <c r="E152" s="25"/>
      <c r="F152" s="25"/>
      <c r="G152" s="25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2.75" customHeight="1" x14ac:dyDescent="0.25">
      <c r="A153" s="25"/>
      <c r="B153" s="34"/>
      <c r="C153" s="25"/>
      <c r="D153" s="25"/>
      <c r="E153" s="25"/>
      <c r="F153" s="25"/>
      <c r="G153" s="25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2.75" customHeight="1" x14ac:dyDescent="0.25">
      <c r="A154" s="25"/>
      <c r="B154" s="34"/>
      <c r="C154" s="25"/>
      <c r="D154" s="25"/>
      <c r="E154" s="25"/>
      <c r="F154" s="25"/>
      <c r="G154" s="25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2.75" customHeight="1" x14ac:dyDescent="0.25">
      <c r="A155" s="25"/>
      <c r="B155" s="34"/>
      <c r="C155" s="25"/>
      <c r="D155" s="25"/>
      <c r="E155" s="25"/>
      <c r="F155" s="25"/>
      <c r="G155" s="25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2.75" customHeight="1" x14ac:dyDescent="0.25">
      <c r="A156" s="25"/>
      <c r="B156" s="34"/>
      <c r="C156" s="25"/>
      <c r="D156" s="25"/>
      <c r="E156" s="25"/>
      <c r="F156" s="25"/>
      <c r="G156" s="25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2.75" customHeight="1" x14ac:dyDescent="0.25">
      <c r="A157" s="25"/>
      <c r="B157" s="34"/>
      <c r="C157" s="25"/>
      <c r="D157" s="25"/>
      <c r="E157" s="25"/>
      <c r="F157" s="25"/>
      <c r="G157" s="25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2.75" customHeight="1" x14ac:dyDescent="0.25">
      <c r="A158" s="25"/>
      <c r="B158" s="34"/>
      <c r="C158" s="25"/>
      <c r="D158" s="25"/>
      <c r="E158" s="25"/>
      <c r="F158" s="25"/>
      <c r="G158" s="25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2.75" customHeight="1" x14ac:dyDescent="0.25">
      <c r="A159" s="25"/>
      <c r="B159" s="34"/>
      <c r="C159" s="25"/>
      <c r="D159" s="25"/>
      <c r="E159" s="25"/>
      <c r="F159" s="25"/>
      <c r="G159" s="25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2.75" customHeight="1" x14ac:dyDescent="0.25">
      <c r="A160" s="25"/>
      <c r="B160" s="34"/>
      <c r="C160" s="25"/>
      <c r="D160" s="25"/>
      <c r="E160" s="25"/>
      <c r="F160" s="25"/>
      <c r="G160" s="25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2.75" customHeight="1" x14ac:dyDescent="0.25">
      <c r="A161" s="25"/>
      <c r="B161" s="34"/>
      <c r="C161" s="25"/>
      <c r="D161" s="25"/>
      <c r="E161" s="25"/>
      <c r="F161" s="25"/>
      <c r="G161" s="25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2.75" customHeight="1" x14ac:dyDescent="0.25">
      <c r="A162" s="25"/>
      <c r="B162" s="34"/>
      <c r="C162" s="25"/>
      <c r="D162" s="25"/>
      <c r="E162" s="25"/>
      <c r="F162" s="25"/>
      <c r="G162" s="25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2.75" customHeight="1" x14ac:dyDescent="0.25">
      <c r="A163" s="25"/>
      <c r="B163" s="34"/>
      <c r="C163" s="25"/>
      <c r="D163" s="25"/>
      <c r="E163" s="25"/>
      <c r="F163" s="25"/>
      <c r="G163" s="25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2.75" customHeight="1" x14ac:dyDescent="0.25">
      <c r="A164" s="25"/>
      <c r="B164" s="34"/>
      <c r="C164" s="25"/>
      <c r="D164" s="25"/>
      <c r="E164" s="25"/>
      <c r="F164" s="25"/>
      <c r="G164" s="25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2.75" customHeight="1" x14ac:dyDescent="0.25">
      <c r="A165" s="25"/>
      <c r="B165" s="34"/>
      <c r="C165" s="25"/>
      <c r="D165" s="25"/>
      <c r="E165" s="25"/>
      <c r="F165" s="25"/>
      <c r="G165" s="25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2.75" customHeight="1" x14ac:dyDescent="0.25">
      <c r="A166" s="25"/>
      <c r="B166" s="34"/>
      <c r="C166" s="25"/>
      <c r="D166" s="25"/>
      <c r="E166" s="25"/>
      <c r="F166" s="25"/>
      <c r="G166" s="25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2.75" customHeight="1" x14ac:dyDescent="0.25">
      <c r="A167" s="25"/>
      <c r="B167" s="34"/>
      <c r="C167" s="25"/>
      <c r="D167" s="25"/>
      <c r="E167" s="25"/>
      <c r="F167" s="25"/>
      <c r="G167" s="25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2.75" customHeight="1" x14ac:dyDescent="0.25">
      <c r="A168" s="25"/>
      <c r="B168" s="34"/>
      <c r="C168" s="25"/>
      <c r="D168" s="25"/>
      <c r="E168" s="25"/>
      <c r="F168" s="25"/>
      <c r="G168" s="25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2.75" customHeight="1" x14ac:dyDescent="0.25">
      <c r="A169" s="25"/>
      <c r="B169" s="34"/>
      <c r="C169" s="25"/>
      <c r="D169" s="25"/>
      <c r="E169" s="25"/>
      <c r="F169" s="25"/>
      <c r="G169" s="25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2.75" customHeight="1" x14ac:dyDescent="0.25">
      <c r="A170" s="25"/>
      <c r="B170" s="34"/>
      <c r="C170" s="25"/>
      <c r="D170" s="25"/>
      <c r="E170" s="25"/>
      <c r="F170" s="25"/>
      <c r="G170" s="25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2.75" customHeight="1" x14ac:dyDescent="0.25">
      <c r="A171" s="25"/>
      <c r="B171" s="34"/>
      <c r="C171" s="25"/>
      <c r="D171" s="25"/>
      <c r="E171" s="25"/>
      <c r="F171" s="25"/>
      <c r="G171" s="25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2.75" customHeight="1" x14ac:dyDescent="0.25">
      <c r="A172" s="25"/>
      <c r="B172" s="34"/>
      <c r="C172" s="25"/>
      <c r="D172" s="25"/>
      <c r="E172" s="25"/>
      <c r="F172" s="25"/>
      <c r="G172" s="25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2.75" customHeight="1" x14ac:dyDescent="0.25">
      <c r="A173" s="25"/>
      <c r="B173" s="34"/>
      <c r="C173" s="25"/>
      <c r="D173" s="25"/>
      <c r="E173" s="25"/>
      <c r="F173" s="25"/>
      <c r="G173" s="25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2.75" customHeight="1" x14ac:dyDescent="0.25">
      <c r="A174" s="25"/>
      <c r="B174" s="34"/>
      <c r="C174" s="25"/>
      <c r="D174" s="25"/>
      <c r="E174" s="25"/>
      <c r="F174" s="25"/>
      <c r="G174" s="25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2.75" customHeight="1" x14ac:dyDescent="0.25">
      <c r="A175" s="25"/>
      <c r="B175" s="34"/>
      <c r="C175" s="25"/>
      <c r="D175" s="25"/>
      <c r="E175" s="25"/>
      <c r="F175" s="25"/>
      <c r="G175" s="25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2.75" customHeight="1" x14ac:dyDescent="0.25">
      <c r="A176" s="25"/>
      <c r="B176" s="34"/>
      <c r="C176" s="25"/>
      <c r="D176" s="25"/>
      <c r="E176" s="25"/>
      <c r="F176" s="25"/>
      <c r="G176" s="25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2.75" customHeight="1" x14ac:dyDescent="0.25">
      <c r="A177" s="25"/>
      <c r="B177" s="34"/>
      <c r="C177" s="25"/>
      <c r="D177" s="25"/>
      <c r="E177" s="25"/>
      <c r="F177" s="25"/>
      <c r="G177" s="25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2.75" customHeight="1" x14ac:dyDescent="0.25">
      <c r="A178" s="25"/>
      <c r="B178" s="34"/>
      <c r="C178" s="25"/>
      <c r="D178" s="25"/>
      <c r="E178" s="25"/>
      <c r="F178" s="25"/>
      <c r="G178" s="25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2.75" customHeight="1" x14ac:dyDescent="0.25">
      <c r="A179" s="25"/>
      <c r="B179" s="34"/>
      <c r="C179" s="25"/>
      <c r="D179" s="25"/>
      <c r="E179" s="25"/>
      <c r="F179" s="25"/>
      <c r="G179" s="25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2.75" customHeight="1" x14ac:dyDescent="0.25">
      <c r="A180" s="25"/>
      <c r="B180" s="34"/>
      <c r="C180" s="25"/>
      <c r="D180" s="25"/>
      <c r="E180" s="25"/>
      <c r="F180" s="25"/>
      <c r="G180" s="25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2.75" customHeight="1" x14ac:dyDescent="0.25">
      <c r="A181" s="25"/>
      <c r="B181" s="34"/>
      <c r="C181" s="25"/>
      <c r="D181" s="25"/>
      <c r="E181" s="25"/>
      <c r="F181" s="25"/>
      <c r="G181" s="25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2.75" customHeight="1" x14ac:dyDescent="0.25">
      <c r="A182" s="25"/>
      <c r="B182" s="34"/>
      <c r="C182" s="25"/>
      <c r="D182" s="25"/>
      <c r="E182" s="25"/>
      <c r="F182" s="25"/>
      <c r="G182" s="25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2.75" customHeight="1" x14ac:dyDescent="0.25">
      <c r="A183" s="25"/>
      <c r="B183" s="34"/>
      <c r="C183" s="25"/>
      <c r="D183" s="25"/>
      <c r="E183" s="25"/>
      <c r="F183" s="25"/>
      <c r="G183" s="25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2.75" customHeight="1" x14ac:dyDescent="0.25">
      <c r="A184" s="25"/>
      <c r="B184" s="34"/>
      <c r="C184" s="25"/>
      <c r="D184" s="25"/>
      <c r="E184" s="25"/>
      <c r="F184" s="25"/>
      <c r="G184" s="25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2.75" customHeight="1" x14ac:dyDescent="0.25">
      <c r="A185" s="25"/>
      <c r="B185" s="34"/>
      <c r="C185" s="25"/>
      <c r="D185" s="25"/>
      <c r="E185" s="25"/>
      <c r="F185" s="25"/>
      <c r="G185" s="25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2.75" customHeight="1" x14ac:dyDescent="0.25">
      <c r="A186" s="25"/>
      <c r="B186" s="34"/>
      <c r="C186" s="25"/>
      <c r="D186" s="25"/>
      <c r="E186" s="25"/>
      <c r="F186" s="25"/>
      <c r="G186" s="25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2.75" customHeight="1" x14ac:dyDescent="0.25">
      <c r="A187" s="25"/>
      <c r="B187" s="34"/>
      <c r="C187" s="25"/>
      <c r="D187" s="25"/>
      <c r="E187" s="25"/>
      <c r="F187" s="25"/>
      <c r="G187" s="25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2.75" customHeight="1" x14ac:dyDescent="0.25">
      <c r="A188" s="25"/>
      <c r="B188" s="34"/>
      <c r="C188" s="25"/>
      <c r="D188" s="25"/>
      <c r="E188" s="25"/>
      <c r="F188" s="25"/>
      <c r="G188" s="25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2.75" customHeight="1" x14ac:dyDescent="0.25">
      <c r="A189" s="25"/>
      <c r="B189" s="34"/>
      <c r="C189" s="25"/>
      <c r="D189" s="25"/>
      <c r="E189" s="25"/>
      <c r="F189" s="25"/>
      <c r="G189" s="25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2.75" customHeight="1" x14ac:dyDescent="0.25">
      <c r="A190" s="25"/>
      <c r="B190" s="34"/>
      <c r="C190" s="25"/>
      <c r="D190" s="25"/>
      <c r="E190" s="25"/>
      <c r="F190" s="25"/>
      <c r="G190" s="25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2.75" customHeight="1" x14ac:dyDescent="0.25">
      <c r="A191" s="25"/>
      <c r="B191" s="34"/>
      <c r="C191" s="25"/>
      <c r="D191" s="25"/>
      <c r="E191" s="25"/>
      <c r="F191" s="25"/>
      <c r="G191" s="25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2.75" customHeight="1" x14ac:dyDescent="0.25">
      <c r="A192" s="25"/>
      <c r="B192" s="34"/>
      <c r="C192" s="25"/>
      <c r="D192" s="25"/>
      <c r="E192" s="25"/>
      <c r="F192" s="25"/>
      <c r="G192" s="25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2.75" customHeight="1" x14ac:dyDescent="0.25">
      <c r="A193" s="25"/>
      <c r="B193" s="34"/>
      <c r="C193" s="25"/>
      <c r="D193" s="25"/>
      <c r="E193" s="25"/>
      <c r="F193" s="25"/>
      <c r="G193" s="25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2.75" customHeight="1" x14ac:dyDescent="0.25">
      <c r="A194" s="25"/>
      <c r="B194" s="34"/>
      <c r="C194" s="25"/>
      <c r="D194" s="25"/>
      <c r="E194" s="25"/>
      <c r="F194" s="25"/>
      <c r="G194" s="25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2.75" customHeight="1" x14ac:dyDescent="0.25">
      <c r="A195" s="25"/>
      <c r="B195" s="34"/>
      <c r="C195" s="25"/>
      <c r="D195" s="25"/>
      <c r="E195" s="25"/>
      <c r="F195" s="25"/>
      <c r="G195" s="25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2.75" customHeight="1" x14ac:dyDescent="0.25">
      <c r="A196" s="25"/>
      <c r="B196" s="34"/>
      <c r="C196" s="25"/>
      <c r="D196" s="25"/>
      <c r="E196" s="25"/>
      <c r="F196" s="25"/>
      <c r="G196" s="25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2.75" customHeight="1" x14ac:dyDescent="0.25">
      <c r="A197" s="25"/>
      <c r="B197" s="34"/>
      <c r="C197" s="25"/>
      <c r="D197" s="25"/>
      <c r="E197" s="25"/>
      <c r="F197" s="25"/>
      <c r="G197" s="25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2.75" customHeight="1" x14ac:dyDescent="0.25">
      <c r="A198" s="25"/>
      <c r="B198" s="34"/>
      <c r="C198" s="25"/>
      <c r="D198" s="25"/>
      <c r="E198" s="25"/>
      <c r="F198" s="25"/>
      <c r="G198" s="25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2.75" customHeight="1" x14ac:dyDescent="0.25">
      <c r="A199" s="25"/>
      <c r="B199" s="34"/>
      <c r="C199" s="25"/>
      <c r="D199" s="25"/>
      <c r="E199" s="25"/>
      <c r="F199" s="25"/>
      <c r="G199" s="25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2.75" customHeight="1" x14ac:dyDescent="0.25">
      <c r="A200" s="25"/>
      <c r="B200" s="34"/>
      <c r="C200" s="25"/>
      <c r="D200" s="25"/>
      <c r="E200" s="25"/>
      <c r="F200" s="25"/>
      <c r="G200" s="25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2.75" customHeight="1" x14ac:dyDescent="0.25">
      <c r="A201" s="25"/>
      <c r="B201" s="34"/>
      <c r="C201" s="25"/>
      <c r="D201" s="25"/>
      <c r="E201" s="25"/>
      <c r="F201" s="25"/>
      <c r="G201" s="25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2.75" customHeight="1" x14ac:dyDescent="0.25">
      <c r="A202" s="25"/>
      <c r="B202" s="34"/>
      <c r="C202" s="25"/>
      <c r="D202" s="25"/>
      <c r="E202" s="25"/>
      <c r="F202" s="25"/>
      <c r="G202" s="25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2.75" customHeight="1" x14ac:dyDescent="0.25">
      <c r="A203" s="25"/>
      <c r="B203" s="34"/>
      <c r="C203" s="25"/>
      <c r="D203" s="25"/>
      <c r="E203" s="25"/>
      <c r="F203" s="25"/>
      <c r="G203" s="25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2.75" customHeight="1" x14ac:dyDescent="0.25">
      <c r="A204" s="25"/>
      <c r="B204" s="34"/>
      <c r="C204" s="25"/>
      <c r="D204" s="25"/>
      <c r="E204" s="25"/>
      <c r="F204" s="25"/>
      <c r="G204" s="25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2.75" customHeight="1" x14ac:dyDescent="0.25">
      <c r="A205" s="25"/>
      <c r="B205" s="34"/>
      <c r="C205" s="25"/>
      <c r="D205" s="25"/>
      <c r="E205" s="25"/>
      <c r="F205" s="25"/>
      <c r="G205" s="25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2.75" customHeight="1" x14ac:dyDescent="0.25">
      <c r="A206" s="25"/>
      <c r="B206" s="34"/>
      <c r="C206" s="25"/>
      <c r="D206" s="25"/>
      <c r="E206" s="25"/>
      <c r="F206" s="25"/>
      <c r="G206" s="25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2.75" customHeight="1" x14ac:dyDescent="0.25">
      <c r="A207" s="25"/>
      <c r="B207" s="34"/>
      <c r="C207" s="25"/>
      <c r="D207" s="25"/>
      <c r="E207" s="25"/>
      <c r="F207" s="25"/>
      <c r="G207" s="25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2.75" customHeight="1" x14ac:dyDescent="0.25">
      <c r="A208" s="25"/>
      <c r="B208" s="34"/>
      <c r="C208" s="25"/>
      <c r="D208" s="25"/>
      <c r="E208" s="25"/>
      <c r="F208" s="25"/>
      <c r="G208" s="25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2.75" customHeight="1" x14ac:dyDescent="0.25">
      <c r="A209" s="25"/>
      <c r="B209" s="34"/>
      <c r="C209" s="25"/>
      <c r="D209" s="25"/>
      <c r="E209" s="25"/>
      <c r="F209" s="25"/>
      <c r="G209" s="25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2.75" customHeight="1" x14ac:dyDescent="0.25">
      <c r="A210" s="25"/>
      <c r="B210" s="34"/>
      <c r="C210" s="25"/>
      <c r="D210" s="25"/>
      <c r="E210" s="25"/>
      <c r="F210" s="25"/>
      <c r="G210" s="25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2.75" customHeight="1" x14ac:dyDescent="0.25">
      <c r="A211" s="25"/>
      <c r="B211" s="34"/>
      <c r="C211" s="25"/>
      <c r="D211" s="25"/>
      <c r="E211" s="25"/>
      <c r="F211" s="25"/>
      <c r="G211" s="25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2.75" customHeight="1" x14ac:dyDescent="0.25">
      <c r="A212" s="25"/>
      <c r="B212" s="34"/>
      <c r="C212" s="25"/>
      <c r="D212" s="25"/>
      <c r="E212" s="25"/>
      <c r="F212" s="25"/>
      <c r="G212" s="25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2.75" customHeight="1" x14ac:dyDescent="0.25">
      <c r="A213" s="25"/>
      <c r="B213" s="34"/>
      <c r="C213" s="25"/>
      <c r="D213" s="25"/>
      <c r="E213" s="25"/>
      <c r="F213" s="25"/>
      <c r="G213" s="25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2.75" customHeight="1" x14ac:dyDescent="0.25">
      <c r="A214" s="25"/>
      <c r="B214" s="34"/>
      <c r="C214" s="25"/>
      <c r="D214" s="25"/>
      <c r="E214" s="25"/>
      <c r="F214" s="25"/>
      <c r="G214" s="25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2.75" customHeight="1" x14ac:dyDescent="0.25">
      <c r="A215" s="25"/>
      <c r="B215" s="34"/>
      <c r="C215" s="25"/>
      <c r="D215" s="25"/>
      <c r="E215" s="25"/>
      <c r="F215" s="25"/>
      <c r="G215" s="25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.75" customHeight="1" x14ac:dyDescent="0.25">
      <c r="A216" s="24"/>
      <c r="B216" s="24"/>
      <c r="C216" s="24"/>
      <c r="D216" s="24"/>
      <c r="E216" s="24"/>
      <c r="F216" s="24"/>
      <c r="G216" s="24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5.75" customHeight="1" x14ac:dyDescent="0.25">
      <c r="A217" s="24"/>
      <c r="B217" s="24"/>
      <c r="C217" s="24"/>
      <c r="D217" s="24"/>
      <c r="E217" s="24"/>
      <c r="F217" s="24"/>
      <c r="G217" s="24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5.75" customHeight="1" x14ac:dyDescent="0.25">
      <c r="A218" s="24"/>
      <c r="B218" s="24"/>
      <c r="C218" s="24"/>
      <c r="D218" s="24"/>
      <c r="E218" s="24"/>
      <c r="F218" s="24"/>
      <c r="G218" s="24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5.75" customHeight="1" x14ac:dyDescent="0.25">
      <c r="A219" s="24"/>
      <c r="B219" s="24"/>
      <c r="C219" s="24"/>
      <c r="D219" s="24"/>
      <c r="E219" s="24"/>
      <c r="F219" s="24"/>
      <c r="G219" s="24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5.75" customHeight="1" x14ac:dyDescent="0.25">
      <c r="A220" s="24"/>
      <c r="B220" s="24"/>
      <c r="C220" s="24"/>
      <c r="D220" s="24"/>
      <c r="E220" s="24"/>
      <c r="F220" s="24"/>
      <c r="G220" s="24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 customHeight="1" x14ac:dyDescent="0.25">
      <c r="A221" s="24"/>
      <c r="B221" s="24"/>
      <c r="C221" s="24"/>
      <c r="D221" s="24"/>
      <c r="E221" s="24"/>
      <c r="F221" s="24"/>
      <c r="G221" s="24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5.75" customHeight="1" x14ac:dyDescent="0.25">
      <c r="A222" s="24"/>
      <c r="B222" s="24"/>
      <c r="C222" s="24"/>
      <c r="D222" s="24"/>
      <c r="E222" s="24"/>
      <c r="F222" s="24"/>
      <c r="G222" s="24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5.75" customHeight="1" x14ac:dyDescent="0.25">
      <c r="A223" s="24"/>
      <c r="B223" s="24"/>
      <c r="C223" s="24"/>
      <c r="D223" s="24"/>
      <c r="E223" s="24"/>
      <c r="F223" s="24"/>
      <c r="G223" s="24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5.75" customHeight="1" x14ac:dyDescent="0.25">
      <c r="A224" s="24"/>
      <c r="B224" s="24"/>
      <c r="C224" s="24"/>
      <c r="D224" s="24"/>
      <c r="E224" s="24"/>
      <c r="F224" s="24"/>
      <c r="G224" s="24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5.75" customHeight="1" x14ac:dyDescent="0.25">
      <c r="A225" s="24"/>
      <c r="B225" s="24"/>
      <c r="C225" s="24"/>
      <c r="D225" s="24"/>
      <c r="E225" s="24"/>
      <c r="F225" s="24"/>
      <c r="G225" s="24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5.75" customHeight="1" x14ac:dyDescent="0.25">
      <c r="A226" s="24"/>
      <c r="B226" s="24"/>
      <c r="C226" s="24"/>
      <c r="D226" s="24"/>
      <c r="E226" s="24"/>
      <c r="F226" s="24"/>
      <c r="G226" s="24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5.75" customHeight="1" x14ac:dyDescent="0.25">
      <c r="A227" s="24"/>
      <c r="B227" s="24"/>
      <c r="C227" s="24"/>
      <c r="D227" s="24"/>
      <c r="E227" s="24"/>
      <c r="F227" s="24"/>
      <c r="G227" s="24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5.75" customHeight="1" x14ac:dyDescent="0.25">
      <c r="A228" s="24"/>
      <c r="B228" s="24"/>
      <c r="C228" s="24"/>
      <c r="D228" s="24"/>
      <c r="E228" s="24"/>
      <c r="F228" s="24"/>
      <c r="G228" s="24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5.75" customHeight="1" x14ac:dyDescent="0.25">
      <c r="A229" s="24"/>
      <c r="B229" s="24"/>
      <c r="C229" s="24"/>
      <c r="D229" s="24"/>
      <c r="E229" s="24"/>
      <c r="F229" s="24"/>
      <c r="G229" s="24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5.75" customHeight="1" x14ac:dyDescent="0.25">
      <c r="A230" s="24"/>
      <c r="B230" s="24"/>
      <c r="C230" s="24"/>
      <c r="D230" s="24"/>
      <c r="E230" s="24"/>
      <c r="F230" s="24"/>
      <c r="G230" s="24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5.75" customHeight="1" x14ac:dyDescent="0.25">
      <c r="A231" s="24"/>
      <c r="B231" s="24"/>
      <c r="C231" s="24"/>
      <c r="D231" s="24"/>
      <c r="E231" s="24"/>
      <c r="F231" s="24"/>
      <c r="G231" s="24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5.75" customHeight="1" x14ac:dyDescent="0.25">
      <c r="A232" s="24"/>
      <c r="B232" s="24"/>
      <c r="C232" s="24"/>
      <c r="D232" s="24"/>
      <c r="E232" s="24"/>
      <c r="F232" s="24"/>
      <c r="G232" s="24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5.75" customHeight="1" x14ac:dyDescent="0.25">
      <c r="A233" s="24"/>
      <c r="B233" s="24"/>
      <c r="C233" s="24"/>
      <c r="D233" s="24"/>
      <c r="E233" s="24"/>
      <c r="F233" s="24"/>
      <c r="G233" s="24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5.75" customHeight="1" x14ac:dyDescent="0.25">
      <c r="A234" s="24"/>
      <c r="B234" s="24"/>
      <c r="C234" s="24"/>
      <c r="D234" s="24"/>
      <c r="E234" s="24"/>
      <c r="F234" s="24"/>
      <c r="G234" s="24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5.75" customHeight="1" x14ac:dyDescent="0.25">
      <c r="A235" s="24"/>
      <c r="B235" s="24"/>
      <c r="C235" s="24"/>
      <c r="D235" s="24"/>
      <c r="E235" s="24"/>
      <c r="F235" s="24"/>
      <c r="G235" s="24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5.75" customHeight="1" x14ac:dyDescent="0.25">
      <c r="A236" s="24"/>
      <c r="B236" s="24"/>
      <c r="C236" s="24"/>
      <c r="D236" s="24"/>
      <c r="E236" s="24"/>
      <c r="F236" s="24"/>
      <c r="G236" s="24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5.75" customHeight="1" x14ac:dyDescent="0.25">
      <c r="A237" s="24"/>
      <c r="B237" s="24"/>
      <c r="C237" s="24"/>
      <c r="D237" s="24"/>
      <c r="E237" s="24"/>
      <c r="F237" s="24"/>
      <c r="G237" s="24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5.75" customHeight="1" x14ac:dyDescent="0.25">
      <c r="A238" s="24"/>
      <c r="B238" s="24"/>
      <c r="C238" s="24"/>
      <c r="D238" s="24"/>
      <c r="E238" s="24"/>
      <c r="F238" s="24"/>
      <c r="G238" s="24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5.75" customHeight="1" x14ac:dyDescent="0.25">
      <c r="A239" s="24"/>
      <c r="B239" s="24"/>
      <c r="C239" s="24"/>
      <c r="D239" s="24"/>
      <c r="E239" s="24"/>
      <c r="F239" s="24"/>
      <c r="G239" s="24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5.75" customHeight="1" x14ac:dyDescent="0.25">
      <c r="A240" s="24"/>
      <c r="B240" s="24"/>
      <c r="C240" s="24"/>
      <c r="D240" s="24"/>
      <c r="E240" s="24"/>
      <c r="F240" s="24"/>
      <c r="G240" s="24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 spans="1:26" ht="15.75" customHeight="1" x14ac:dyDescent="0.25">
      <c r="A241" s="24"/>
      <c r="B241" s="24"/>
      <c r="C241" s="24"/>
      <c r="D241" s="24"/>
      <c r="E241" s="24"/>
      <c r="F241" s="24"/>
      <c r="G241" s="24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5.75" customHeight="1" x14ac:dyDescent="0.25">
      <c r="A242" s="24"/>
      <c r="B242" s="24"/>
      <c r="C242" s="24"/>
      <c r="D242" s="24"/>
      <c r="E242" s="24"/>
      <c r="F242" s="24"/>
      <c r="G242" s="24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5.75" customHeight="1" x14ac:dyDescent="0.25">
      <c r="A243" s="24"/>
      <c r="B243" s="24"/>
      <c r="C243" s="24"/>
      <c r="D243" s="24"/>
      <c r="E243" s="24"/>
      <c r="F243" s="24"/>
      <c r="G243" s="24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5.75" customHeight="1" x14ac:dyDescent="0.25">
      <c r="A244" s="24"/>
      <c r="B244" s="24"/>
      <c r="C244" s="24"/>
      <c r="D244" s="24"/>
      <c r="E244" s="24"/>
      <c r="F244" s="24"/>
      <c r="G244" s="24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5.75" customHeight="1" x14ac:dyDescent="0.25">
      <c r="A245" s="24"/>
      <c r="B245" s="24"/>
      <c r="C245" s="24"/>
      <c r="D245" s="24"/>
      <c r="E245" s="24"/>
      <c r="F245" s="24"/>
      <c r="G245" s="24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5.75" customHeight="1" x14ac:dyDescent="0.25">
      <c r="A246" s="24"/>
      <c r="B246" s="24"/>
      <c r="C246" s="24"/>
      <c r="D246" s="24"/>
      <c r="E246" s="24"/>
      <c r="F246" s="24"/>
      <c r="G246" s="24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5.75" customHeight="1" x14ac:dyDescent="0.25">
      <c r="A247" s="24"/>
      <c r="B247" s="24"/>
      <c r="C247" s="24"/>
      <c r="D247" s="24"/>
      <c r="E247" s="24"/>
      <c r="F247" s="24"/>
      <c r="G247" s="24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5.75" customHeight="1" x14ac:dyDescent="0.25">
      <c r="A248" s="24"/>
      <c r="B248" s="24"/>
      <c r="C248" s="24"/>
      <c r="D248" s="24"/>
      <c r="E248" s="24"/>
      <c r="F248" s="24"/>
      <c r="G248" s="24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5.75" customHeight="1" x14ac:dyDescent="0.25">
      <c r="A249" s="24"/>
      <c r="B249" s="24"/>
      <c r="C249" s="24"/>
      <c r="D249" s="24"/>
      <c r="E249" s="24"/>
      <c r="F249" s="24"/>
      <c r="G249" s="24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5.75" customHeight="1" x14ac:dyDescent="0.25">
      <c r="A250" s="24"/>
      <c r="B250" s="24"/>
      <c r="C250" s="24"/>
      <c r="D250" s="24"/>
      <c r="E250" s="24"/>
      <c r="F250" s="24"/>
      <c r="G250" s="24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5.75" customHeight="1" x14ac:dyDescent="0.25">
      <c r="A251" s="24"/>
      <c r="B251" s="24"/>
      <c r="C251" s="24"/>
      <c r="D251" s="24"/>
      <c r="E251" s="24"/>
      <c r="F251" s="24"/>
      <c r="G251" s="24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5.75" customHeight="1" x14ac:dyDescent="0.25">
      <c r="A252" s="24"/>
      <c r="B252" s="24"/>
      <c r="C252" s="24"/>
      <c r="D252" s="24"/>
      <c r="E252" s="24"/>
      <c r="F252" s="24"/>
      <c r="G252" s="24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5.75" customHeight="1" x14ac:dyDescent="0.25">
      <c r="A253" s="24"/>
      <c r="B253" s="24"/>
      <c r="C253" s="24"/>
      <c r="D253" s="24"/>
      <c r="E253" s="24"/>
      <c r="F253" s="24"/>
      <c r="G253" s="24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5.75" customHeight="1" x14ac:dyDescent="0.25">
      <c r="A254" s="24"/>
      <c r="B254" s="24"/>
      <c r="C254" s="24"/>
      <c r="D254" s="24"/>
      <c r="E254" s="24"/>
      <c r="F254" s="24"/>
      <c r="G254" s="24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5.75" customHeight="1" x14ac:dyDescent="0.25">
      <c r="A255" s="24"/>
      <c r="B255" s="24"/>
      <c r="C255" s="24"/>
      <c r="D255" s="24"/>
      <c r="E255" s="24"/>
      <c r="F255" s="24"/>
      <c r="G255" s="24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 spans="1:26" ht="15.75" customHeight="1" x14ac:dyDescent="0.25">
      <c r="A256" s="24"/>
      <c r="B256" s="24"/>
      <c r="C256" s="24"/>
      <c r="D256" s="24"/>
      <c r="E256" s="24"/>
      <c r="F256" s="24"/>
      <c r="G256" s="24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 spans="1:26" ht="15.75" customHeight="1" x14ac:dyDescent="0.25">
      <c r="A257" s="24"/>
      <c r="B257" s="24"/>
      <c r="C257" s="24"/>
      <c r="D257" s="24"/>
      <c r="E257" s="24"/>
      <c r="F257" s="24"/>
      <c r="G257" s="24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 spans="1:26" ht="15.75" customHeight="1" x14ac:dyDescent="0.25">
      <c r="A258" s="24"/>
      <c r="B258" s="24"/>
      <c r="C258" s="24"/>
      <c r="D258" s="24"/>
      <c r="E258" s="24"/>
      <c r="F258" s="24"/>
      <c r="G258" s="24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 spans="1:26" ht="15.75" customHeight="1" x14ac:dyDescent="0.25">
      <c r="A259" s="24"/>
      <c r="B259" s="24"/>
      <c r="C259" s="24"/>
      <c r="D259" s="24"/>
      <c r="E259" s="24"/>
      <c r="F259" s="24"/>
      <c r="G259" s="24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 spans="1:26" ht="15.75" customHeight="1" x14ac:dyDescent="0.25">
      <c r="A260" s="24"/>
      <c r="B260" s="24"/>
      <c r="C260" s="24"/>
      <c r="D260" s="24"/>
      <c r="E260" s="24"/>
      <c r="F260" s="24"/>
      <c r="G260" s="24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 spans="1:26" ht="15.75" customHeight="1" x14ac:dyDescent="0.25">
      <c r="A261" s="24"/>
      <c r="B261" s="24"/>
      <c r="C261" s="24"/>
      <c r="D261" s="24"/>
      <c r="E261" s="24"/>
      <c r="F261" s="24"/>
      <c r="G261" s="24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 spans="1:26" ht="15.75" customHeight="1" x14ac:dyDescent="0.25">
      <c r="A262" s="24"/>
      <c r="B262" s="24"/>
      <c r="C262" s="24"/>
      <c r="D262" s="24"/>
      <c r="E262" s="24"/>
      <c r="F262" s="24"/>
      <c r="G262" s="24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 spans="1:26" ht="15.75" customHeight="1" x14ac:dyDescent="0.25">
      <c r="A263" s="24"/>
      <c r="B263" s="24"/>
      <c r="C263" s="24"/>
      <c r="D263" s="24"/>
      <c r="E263" s="24"/>
      <c r="F263" s="24"/>
      <c r="G263" s="24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 spans="1:26" ht="15.75" customHeight="1" x14ac:dyDescent="0.25">
      <c r="A264" s="24"/>
      <c r="B264" s="24"/>
      <c r="C264" s="24"/>
      <c r="D264" s="24"/>
      <c r="E264" s="24"/>
      <c r="F264" s="24"/>
      <c r="G264" s="24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 spans="1:26" ht="15.75" customHeight="1" x14ac:dyDescent="0.25">
      <c r="A265" s="24"/>
      <c r="B265" s="24"/>
      <c r="C265" s="24"/>
      <c r="D265" s="24"/>
      <c r="E265" s="24"/>
      <c r="F265" s="24"/>
      <c r="G265" s="24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 spans="1:26" ht="15.75" customHeight="1" x14ac:dyDescent="0.25">
      <c r="A266" s="24"/>
      <c r="B266" s="24"/>
      <c r="C266" s="24"/>
      <c r="D266" s="24"/>
      <c r="E266" s="24"/>
      <c r="F266" s="24"/>
      <c r="G266" s="24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 spans="1:26" ht="15.75" customHeight="1" x14ac:dyDescent="0.25">
      <c r="A267" s="24"/>
      <c r="B267" s="24"/>
      <c r="C267" s="24"/>
      <c r="D267" s="24"/>
      <c r="E267" s="24"/>
      <c r="F267" s="24"/>
      <c r="G267" s="24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 spans="1:26" ht="15.75" customHeight="1" x14ac:dyDescent="0.25">
      <c r="A268" s="24"/>
      <c r="B268" s="24"/>
      <c r="C268" s="24"/>
      <c r="D268" s="24"/>
      <c r="E268" s="24"/>
      <c r="F268" s="24"/>
      <c r="G268" s="24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 spans="1:26" ht="15.75" customHeight="1" x14ac:dyDescent="0.25">
      <c r="A269" s="24"/>
      <c r="B269" s="24"/>
      <c r="C269" s="24"/>
      <c r="D269" s="24"/>
      <c r="E269" s="24"/>
      <c r="F269" s="24"/>
      <c r="G269" s="24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 spans="1:26" ht="15.75" customHeight="1" x14ac:dyDescent="0.25">
      <c r="A270" s="24"/>
      <c r="B270" s="24"/>
      <c r="C270" s="24"/>
      <c r="D270" s="24"/>
      <c r="E270" s="24"/>
      <c r="F270" s="24"/>
      <c r="G270" s="24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 spans="1:26" ht="15.75" customHeight="1" x14ac:dyDescent="0.25">
      <c r="A271" s="24"/>
      <c r="B271" s="24"/>
      <c r="C271" s="24"/>
      <c r="D271" s="24"/>
      <c r="E271" s="24"/>
      <c r="F271" s="24"/>
      <c r="G271" s="24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 spans="1:26" ht="15.75" customHeight="1" x14ac:dyDescent="0.25">
      <c r="A272" s="24"/>
      <c r="B272" s="24"/>
      <c r="C272" s="24"/>
      <c r="D272" s="24"/>
      <c r="E272" s="24"/>
      <c r="F272" s="24"/>
      <c r="G272" s="24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 spans="1:26" ht="15.75" customHeight="1" x14ac:dyDescent="0.25">
      <c r="A273" s="24"/>
      <c r="B273" s="24"/>
      <c r="C273" s="24"/>
      <c r="D273" s="24"/>
      <c r="E273" s="24"/>
      <c r="F273" s="24"/>
      <c r="G273" s="24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 spans="1:26" ht="15.75" customHeight="1" x14ac:dyDescent="0.25">
      <c r="A274" s="24"/>
      <c r="B274" s="24"/>
      <c r="C274" s="24"/>
      <c r="D274" s="24"/>
      <c r="E274" s="24"/>
      <c r="F274" s="24"/>
      <c r="G274" s="24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 spans="1:26" ht="15.75" customHeight="1" x14ac:dyDescent="0.25">
      <c r="A275" s="24"/>
      <c r="B275" s="24"/>
      <c r="C275" s="24"/>
      <c r="D275" s="24"/>
      <c r="E275" s="24"/>
      <c r="F275" s="24"/>
      <c r="G275" s="24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 spans="1:26" ht="15.75" customHeight="1" x14ac:dyDescent="0.25">
      <c r="A276" s="24"/>
      <c r="B276" s="24"/>
      <c r="C276" s="24"/>
      <c r="D276" s="24"/>
      <c r="E276" s="24"/>
      <c r="F276" s="24"/>
      <c r="G276" s="24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 spans="1:26" ht="15.75" customHeight="1" x14ac:dyDescent="0.25">
      <c r="A277" s="24"/>
      <c r="B277" s="24"/>
      <c r="C277" s="24"/>
      <c r="D277" s="24"/>
      <c r="E277" s="24"/>
      <c r="F277" s="24"/>
      <c r="G277" s="24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 spans="1:26" ht="15.75" customHeight="1" x14ac:dyDescent="0.25">
      <c r="A278" s="24"/>
      <c r="B278" s="24"/>
      <c r="C278" s="24"/>
      <c r="D278" s="24"/>
      <c r="E278" s="24"/>
      <c r="F278" s="24"/>
      <c r="G278" s="24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 spans="1:26" ht="15.75" customHeight="1" x14ac:dyDescent="0.25">
      <c r="A279" s="24"/>
      <c r="B279" s="24"/>
      <c r="C279" s="24"/>
      <c r="D279" s="24"/>
      <c r="E279" s="24"/>
      <c r="F279" s="24"/>
      <c r="G279" s="24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 spans="1:26" ht="15.75" customHeight="1" x14ac:dyDescent="0.25">
      <c r="A280" s="24"/>
      <c r="B280" s="24"/>
      <c r="C280" s="24"/>
      <c r="D280" s="24"/>
      <c r="E280" s="24"/>
      <c r="F280" s="24"/>
      <c r="G280" s="24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 spans="1:26" ht="15.75" customHeight="1" x14ac:dyDescent="0.25">
      <c r="A281" s="24"/>
      <c r="B281" s="24"/>
      <c r="C281" s="24"/>
      <c r="D281" s="24"/>
      <c r="E281" s="24"/>
      <c r="F281" s="24"/>
      <c r="G281" s="24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 spans="1:26" ht="15.75" customHeight="1" x14ac:dyDescent="0.25">
      <c r="A282" s="24"/>
      <c r="B282" s="24"/>
      <c r="C282" s="24"/>
      <c r="D282" s="24"/>
      <c r="E282" s="24"/>
      <c r="F282" s="24"/>
      <c r="G282" s="24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 spans="1:26" ht="15.75" customHeight="1" x14ac:dyDescent="0.25">
      <c r="A283" s="24"/>
      <c r="B283" s="24"/>
      <c r="C283" s="24"/>
      <c r="D283" s="24"/>
      <c r="E283" s="24"/>
      <c r="F283" s="24"/>
      <c r="G283" s="24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 spans="1:26" ht="15.75" customHeight="1" x14ac:dyDescent="0.25">
      <c r="A284" s="24"/>
      <c r="B284" s="24"/>
      <c r="C284" s="24"/>
      <c r="D284" s="24"/>
      <c r="E284" s="24"/>
      <c r="F284" s="24"/>
      <c r="G284" s="24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 spans="1:26" ht="15.75" customHeight="1" x14ac:dyDescent="0.25">
      <c r="A285" s="24"/>
      <c r="B285" s="24"/>
      <c r="C285" s="24"/>
      <c r="D285" s="24"/>
      <c r="E285" s="24"/>
      <c r="F285" s="24"/>
      <c r="G285" s="24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 spans="1:26" ht="15.75" customHeight="1" x14ac:dyDescent="0.25">
      <c r="A286" s="24"/>
      <c r="B286" s="24"/>
      <c r="C286" s="24"/>
      <c r="D286" s="24"/>
      <c r="E286" s="24"/>
      <c r="F286" s="24"/>
      <c r="G286" s="24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 spans="1:26" ht="15.75" customHeight="1" x14ac:dyDescent="0.25">
      <c r="A287" s="24"/>
      <c r="B287" s="24"/>
      <c r="C287" s="24"/>
      <c r="D287" s="24"/>
      <c r="E287" s="24"/>
      <c r="F287" s="24"/>
      <c r="G287" s="24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 spans="1:26" ht="15.75" customHeight="1" x14ac:dyDescent="0.25">
      <c r="A288" s="24"/>
      <c r="B288" s="24"/>
      <c r="C288" s="24"/>
      <c r="D288" s="24"/>
      <c r="E288" s="24"/>
      <c r="F288" s="24"/>
      <c r="G288" s="24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 spans="1:26" ht="15.75" customHeight="1" x14ac:dyDescent="0.25">
      <c r="A289" s="24"/>
      <c r="B289" s="24"/>
      <c r="C289" s="24"/>
      <c r="D289" s="24"/>
      <c r="E289" s="24"/>
      <c r="F289" s="24"/>
      <c r="G289" s="24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 spans="1:26" ht="15.75" customHeight="1" x14ac:dyDescent="0.25">
      <c r="A290" s="24"/>
      <c r="B290" s="24"/>
      <c r="C290" s="24"/>
      <c r="D290" s="24"/>
      <c r="E290" s="24"/>
      <c r="F290" s="24"/>
      <c r="G290" s="24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 spans="1:26" ht="15.75" customHeight="1" x14ac:dyDescent="0.25">
      <c r="A291" s="24"/>
      <c r="B291" s="24"/>
      <c r="C291" s="24"/>
      <c r="D291" s="24"/>
      <c r="E291" s="24"/>
      <c r="F291" s="24"/>
      <c r="G291" s="24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 spans="1:26" ht="15.75" customHeight="1" x14ac:dyDescent="0.25">
      <c r="A292" s="24"/>
      <c r="B292" s="24"/>
      <c r="C292" s="24"/>
      <c r="D292" s="24"/>
      <c r="E292" s="24"/>
      <c r="F292" s="24"/>
      <c r="G292" s="24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 spans="1:26" ht="15.75" customHeight="1" x14ac:dyDescent="0.25">
      <c r="A293" s="24"/>
      <c r="B293" s="24"/>
      <c r="C293" s="24"/>
      <c r="D293" s="24"/>
      <c r="E293" s="24"/>
      <c r="F293" s="24"/>
      <c r="G293" s="24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 spans="1:26" ht="15.75" customHeight="1" x14ac:dyDescent="0.25">
      <c r="A294" s="24"/>
      <c r="B294" s="24"/>
      <c r="C294" s="24"/>
      <c r="D294" s="24"/>
      <c r="E294" s="24"/>
      <c r="F294" s="24"/>
      <c r="G294" s="24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 spans="1:26" ht="15.75" customHeight="1" x14ac:dyDescent="0.25">
      <c r="A295" s="24"/>
      <c r="B295" s="24"/>
      <c r="C295" s="24"/>
      <c r="D295" s="24"/>
      <c r="E295" s="24"/>
      <c r="F295" s="24"/>
      <c r="G295" s="24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 spans="1:26" ht="15.75" customHeight="1" x14ac:dyDescent="0.25">
      <c r="A296" s="24"/>
      <c r="B296" s="24"/>
      <c r="C296" s="24"/>
      <c r="D296" s="24"/>
      <c r="E296" s="24"/>
      <c r="F296" s="24"/>
      <c r="G296" s="24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 spans="1:26" ht="15.75" customHeight="1" x14ac:dyDescent="0.25">
      <c r="A297" s="24"/>
      <c r="B297" s="24"/>
      <c r="C297" s="24"/>
      <c r="D297" s="24"/>
      <c r="E297" s="24"/>
      <c r="F297" s="24"/>
      <c r="G297" s="24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 spans="1:26" ht="15.75" customHeight="1" x14ac:dyDescent="0.25">
      <c r="A298" s="24"/>
      <c r="B298" s="24"/>
      <c r="C298" s="24"/>
      <c r="D298" s="24"/>
      <c r="E298" s="24"/>
      <c r="F298" s="24"/>
      <c r="G298" s="24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 spans="1:26" ht="15.75" customHeight="1" x14ac:dyDescent="0.25">
      <c r="A299" s="24"/>
      <c r="B299" s="24"/>
      <c r="C299" s="24"/>
      <c r="D299" s="24"/>
      <c r="E299" s="24"/>
      <c r="F299" s="24"/>
      <c r="G299" s="24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 spans="1:26" ht="15.75" customHeight="1" x14ac:dyDescent="0.25">
      <c r="A300" s="24"/>
      <c r="B300" s="24"/>
      <c r="C300" s="24"/>
      <c r="D300" s="24"/>
      <c r="E300" s="24"/>
      <c r="F300" s="24"/>
      <c r="G300" s="24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 spans="1:26" ht="15.75" customHeight="1" x14ac:dyDescent="0.25">
      <c r="A301" s="24"/>
      <c r="B301" s="24"/>
      <c r="C301" s="24"/>
      <c r="D301" s="24"/>
      <c r="E301" s="24"/>
      <c r="F301" s="24"/>
      <c r="G301" s="24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 spans="1:26" ht="15.75" customHeight="1" x14ac:dyDescent="0.25">
      <c r="A302" s="24"/>
      <c r="B302" s="24"/>
      <c r="C302" s="24"/>
      <c r="D302" s="24"/>
      <c r="E302" s="24"/>
      <c r="F302" s="24"/>
      <c r="G302" s="24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 spans="1:26" ht="15.75" customHeight="1" x14ac:dyDescent="0.25">
      <c r="A303" s="24"/>
      <c r="B303" s="24"/>
      <c r="C303" s="24"/>
      <c r="D303" s="24"/>
      <c r="E303" s="24"/>
      <c r="F303" s="24"/>
      <c r="G303" s="24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 spans="1:26" ht="15.75" customHeight="1" x14ac:dyDescent="0.25">
      <c r="A304" s="24"/>
      <c r="B304" s="24"/>
      <c r="C304" s="24"/>
      <c r="D304" s="24"/>
      <c r="E304" s="24"/>
      <c r="F304" s="24"/>
      <c r="G304" s="24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 spans="1:26" ht="15.75" customHeight="1" x14ac:dyDescent="0.25">
      <c r="A305" s="24"/>
      <c r="B305" s="24"/>
      <c r="C305" s="24"/>
      <c r="D305" s="24"/>
      <c r="E305" s="24"/>
      <c r="F305" s="24"/>
      <c r="G305" s="24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 spans="1:26" ht="15.75" customHeight="1" x14ac:dyDescent="0.25">
      <c r="A306" s="24"/>
      <c r="B306" s="24"/>
      <c r="C306" s="24"/>
      <c r="D306" s="24"/>
      <c r="E306" s="24"/>
      <c r="F306" s="24"/>
      <c r="G306" s="24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 spans="1:26" ht="15.75" customHeight="1" x14ac:dyDescent="0.25">
      <c r="A307" s="24"/>
      <c r="B307" s="24"/>
      <c r="C307" s="24"/>
      <c r="D307" s="24"/>
      <c r="E307" s="24"/>
      <c r="F307" s="24"/>
      <c r="G307" s="24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 spans="1:26" ht="15.75" customHeight="1" x14ac:dyDescent="0.25">
      <c r="A308" s="24"/>
      <c r="B308" s="24"/>
      <c r="C308" s="24"/>
      <c r="D308" s="24"/>
      <c r="E308" s="24"/>
      <c r="F308" s="24"/>
      <c r="G308" s="24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 spans="1:26" ht="15.75" customHeight="1" x14ac:dyDescent="0.25">
      <c r="A309" s="24"/>
      <c r="B309" s="24"/>
      <c r="C309" s="24"/>
      <c r="D309" s="24"/>
      <c r="E309" s="24"/>
      <c r="F309" s="24"/>
      <c r="G309" s="24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 spans="1:26" ht="15.75" customHeight="1" x14ac:dyDescent="0.25">
      <c r="A310" s="24"/>
      <c r="B310" s="24"/>
      <c r="C310" s="24"/>
      <c r="D310" s="24"/>
      <c r="E310" s="24"/>
      <c r="F310" s="24"/>
      <c r="G310" s="24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 spans="1:26" ht="15.75" customHeight="1" x14ac:dyDescent="0.25">
      <c r="A311" s="24"/>
      <c r="B311" s="24"/>
      <c r="C311" s="24"/>
      <c r="D311" s="24"/>
      <c r="E311" s="24"/>
      <c r="F311" s="24"/>
      <c r="G311" s="24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 spans="1:26" ht="15.75" customHeight="1" x14ac:dyDescent="0.25">
      <c r="A312" s="24"/>
      <c r="B312" s="24"/>
      <c r="C312" s="24"/>
      <c r="D312" s="24"/>
      <c r="E312" s="24"/>
      <c r="F312" s="24"/>
      <c r="G312" s="24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 spans="1:26" ht="15.75" customHeight="1" x14ac:dyDescent="0.25">
      <c r="A313" s="24"/>
      <c r="B313" s="24"/>
      <c r="C313" s="24"/>
      <c r="D313" s="24"/>
      <c r="E313" s="24"/>
      <c r="F313" s="24"/>
      <c r="G313" s="24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 spans="1:26" ht="15.75" customHeight="1" x14ac:dyDescent="0.25">
      <c r="A314" s="24"/>
      <c r="B314" s="24"/>
      <c r="C314" s="24"/>
      <c r="D314" s="24"/>
      <c r="E314" s="24"/>
      <c r="F314" s="24"/>
      <c r="G314" s="24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 spans="1:26" ht="15.75" customHeight="1" x14ac:dyDescent="0.25">
      <c r="A315" s="24"/>
      <c r="B315" s="24"/>
      <c r="C315" s="24"/>
      <c r="D315" s="24"/>
      <c r="E315" s="24"/>
      <c r="F315" s="24"/>
      <c r="G315" s="24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 spans="1:26" ht="15.75" customHeight="1" x14ac:dyDescent="0.25">
      <c r="A316" s="24"/>
      <c r="B316" s="24"/>
      <c r="C316" s="24"/>
      <c r="D316" s="24"/>
      <c r="E316" s="24"/>
      <c r="F316" s="24"/>
      <c r="G316" s="24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 spans="1:26" ht="15.75" customHeight="1" x14ac:dyDescent="0.25">
      <c r="A317" s="24"/>
      <c r="B317" s="24"/>
      <c r="C317" s="24"/>
      <c r="D317" s="24"/>
      <c r="E317" s="24"/>
      <c r="F317" s="24"/>
      <c r="G317" s="24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 spans="1:26" ht="15.75" customHeight="1" x14ac:dyDescent="0.25">
      <c r="A318" s="24"/>
      <c r="B318" s="24"/>
      <c r="C318" s="24"/>
      <c r="D318" s="24"/>
      <c r="E318" s="24"/>
      <c r="F318" s="24"/>
      <c r="G318" s="24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 spans="1:26" ht="15.75" customHeight="1" x14ac:dyDescent="0.25">
      <c r="A319" s="24"/>
      <c r="B319" s="24"/>
      <c r="C319" s="24"/>
      <c r="D319" s="24"/>
      <c r="E319" s="24"/>
      <c r="F319" s="24"/>
      <c r="G319" s="24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 spans="1:26" ht="15.75" customHeight="1" x14ac:dyDescent="0.25">
      <c r="A320" s="24"/>
      <c r="B320" s="24"/>
      <c r="C320" s="24"/>
      <c r="D320" s="24"/>
      <c r="E320" s="24"/>
      <c r="F320" s="24"/>
      <c r="G320" s="24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 spans="1:26" ht="15.75" customHeight="1" x14ac:dyDescent="0.25">
      <c r="A321" s="24"/>
      <c r="B321" s="24"/>
      <c r="C321" s="24"/>
      <c r="D321" s="24"/>
      <c r="E321" s="24"/>
      <c r="F321" s="24"/>
      <c r="G321" s="24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 spans="1:26" ht="15.75" customHeight="1" x14ac:dyDescent="0.25">
      <c r="A322" s="24"/>
      <c r="B322" s="24"/>
      <c r="C322" s="24"/>
      <c r="D322" s="24"/>
      <c r="E322" s="24"/>
      <c r="F322" s="24"/>
      <c r="G322" s="24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 spans="1:26" ht="15.75" customHeight="1" x14ac:dyDescent="0.25">
      <c r="A323" s="24"/>
      <c r="B323" s="24"/>
      <c r="C323" s="24"/>
      <c r="D323" s="24"/>
      <c r="E323" s="24"/>
      <c r="F323" s="24"/>
      <c r="G323" s="24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 spans="1:26" ht="15.75" customHeight="1" x14ac:dyDescent="0.25">
      <c r="A324" s="24"/>
      <c r="B324" s="24"/>
      <c r="C324" s="24"/>
      <c r="D324" s="24"/>
      <c r="E324" s="24"/>
      <c r="F324" s="24"/>
      <c r="G324" s="24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 spans="1:26" ht="15.75" customHeight="1" x14ac:dyDescent="0.25">
      <c r="A325" s="24"/>
      <c r="B325" s="24"/>
      <c r="C325" s="24"/>
      <c r="D325" s="24"/>
      <c r="E325" s="24"/>
      <c r="F325" s="24"/>
      <c r="G325" s="24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 spans="1:26" ht="15.75" customHeight="1" x14ac:dyDescent="0.25">
      <c r="A326" s="24"/>
      <c r="B326" s="24"/>
      <c r="C326" s="24"/>
      <c r="D326" s="24"/>
      <c r="E326" s="24"/>
      <c r="F326" s="24"/>
      <c r="G326" s="24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 spans="1:26" ht="15.75" customHeight="1" x14ac:dyDescent="0.25">
      <c r="A327" s="24"/>
      <c r="B327" s="24"/>
      <c r="C327" s="24"/>
      <c r="D327" s="24"/>
      <c r="E327" s="24"/>
      <c r="F327" s="24"/>
      <c r="G327" s="24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 spans="1:26" ht="15.75" customHeight="1" x14ac:dyDescent="0.25">
      <c r="A328" s="24"/>
      <c r="B328" s="24"/>
      <c r="C328" s="24"/>
      <c r="D328" s="24"/>
      <c r="E328" s="24"/>
      <c r="F328" s="24"/>
      <c r="G328" s="24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 spans="1:26" ht="15.75" customHeight="1" x14ac:dyDescent="0.25">
      <c r="A329" s="24"/>
      <c r="B329" s="24"/>
      <c r="C329" s="24"/>
      <c r="D329" s="24"/>
      <c r="E329" s="24"/>
      <c r="F329" s="24"/>
      <c r="G329" s="24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 spans="1:26" ht="15.75" customHeight="1" x14ac:dyDescent="0.25">
      <c r="A330" s="24"/>
      <c r="B330" s="24"/>
      <c r="C330" s="24"/>
      <c r="D330" s="24"/>
      <c r="E330" s="24"/>
      <c r="F330" s="24"/>
      <c r="G330" s="24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 spans="1:26" ht="15.75" customHeight="1" x14ac:dyDescent="0.25">
      <c r="A331" s="24"/>
      <c r="B331" s="24"/>
      <c r="C331" s="24"/>
      <c r="D331" s="24"/>
      <c r="E331" s="24"/>
      <c r="F331" s="24"/>
      <c r="G331" s="24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 spans="1:26" ht="15.75" customHeight="1" x14ac:dyDescent="0.25">
      <c r="A332" s="24"/>
      <c r="B332" s="24"/>
      <c r="C332" s="24"/>
      <c r="D332" s="24"/>
      <c r="E332" s="24"/>
      <c r="F332" s="24"/>
      <c r="G332" s="24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 spans="1:26" ht="15.75" customHeight="1" x14ac:dyDescent="0.25">
      <c r="A333" s="24"/>
      <c r="B333" s="24"/>
      <c r="C333" s="24"/>
      <c r="D333" s="24"/>
      <c r="E333" s="24"/>
      <c r="F333" s="24"/>
      <c r="G333" s="24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 spans="1:26" ht="15.75" customHeight="1" x14ac:dyDescent="0.25">
      <c r="A334" s="24"/>
      <c r="B334" s="24"/>
      <c r="C334" s="24"/>
      <c r="D334" s="24"/>
      <c r="E334" s="24"/>
      <c r="F334" s="24"/>
      <c r="G334" s="24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 spans="1:26" ht="15.75" customHeight="1" x14ac:dyDescent="0.25">
      <c r="A335" s="24"/>
      <c r="B335" s="24"/>
      <c r="C335" s="24"/>
      <c r="D335" s="24"/>
      <c r="E335" s="24"/>
      <c r="F335" s="24"/>
      <c r="G335" s="24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 spans="1:26" ht="15.75" customHeight="1" x14ac:dyDescent="0.25">
      <c r="A336" s="24"/>
      <c r="B336" s="24"/>
      <c r="C336" s="24"/>
      <c r="D336" s="24"/>
      <c r="E336" s="24"/>
      <c r="F336" s="24"/>
      <c r="G336" s="24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 spans="1:26" ht="15.75" customHeight="1" x14ac:dyDescent="0.25">
      <c r="A337" s="24"/>
      <c r="B337" s="24"/>
      <c r="C337" s="24"/>
      <c r="D337" s="24"/>
      <c r="E337" s="24"/>
      <c r="F337" s="24"/>
      <c r="G337" s="24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 spans="1:26" ht="15.75" customHeight="1" x14ac:dyDescent="0.25">
      <c r="A338" s="24"/>
      <c r="B338" s="24"/>
      <c r="C338" s="24"/>
      <c r="D338" s="24"/>
      <c r="E338" s="24"/>
      <c r="F338" s="24"/>
      <c r="G338" s="24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 spans="1:26" ht="15.75" customHeight="1" x14ac:dyDescent="0.25">
      <c r="A339" s="24"/>
      <c r="B339" s="24"/>
      <c r="C339" s="24"/>
      <c r="D339" s="24"/>
      <c r="E339" s="24"/>
      <c r="F339" s="24"/>
      <c r="G339" s="24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 spans="1:26" ht="15.75" customHeight="1" x14ac:dyDescent="0.25">
      <c r="A340" s="24"/>
      <c r="B340" s="24"/>
      <c r="C340" s="24"/>
      <c r="D340" s="24"/>
      <c r="E340" s="24"/>
      <c r="F340" s="24"/>
      <c r="G340" s="24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 spans="1:26" ht="15.75" customHeight="1" x14ac:dyDescent="0.25">
      <c r="A341" s="24"/>
      <c r="B341" s="24"/>
      <c r="C341" s="24"/>
      <c r="D341" s="24"/>
      <c r="E341" s="24"/>
      <c r="F341" s="24"/>
      <c r="G341" s="24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 spans="1:26" ht="15.75" customHeight="1" x14ac:dyDescent="0.25">
      <c r="A342" s="24"/>
      <c r="B342" s="24"/>
      <c r="C342" s="24"/>
      <c r="D342" s="24"/>
      <c r="E342" s="24"/>
      <c r="F342" s="24"/>
      <c r="G342" s="24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 spans="1:26" ht="15.75" customHeight="1" x14ac:dyDescent="0.25">
      <c r="A343" s="24"/>
      <c r="B343" s="24"/>
      <c r="C343" s="24"/>
      <c r="D343" s="24"/>
      <c r="E343" s="24"/>
      <c r="F343" s="24"/>
      <c r="G343" s="24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 spans="1:26" ht="15.75" customHeight="1" x14ac:dyDescent="0.25">
      <c r="A344" s="24"/>
      <c r="B344" s="24"/>
      <c r="C344" s="24"/>
      <c r="D344" s="24"/>
      <c r="E344" s="24"/>
      <c r="F344" s="24"/>
      <c r="G344" s="24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 spans="1:26" ht="15.75" customHeight="1" x14ac:dyDescent="0.25">
      <c r="A345" s="24"/>
      <c r="B345" s="24"/>
      <c r="C345" s="24"/>
      <c r="D345" s="24"/>
      <c r="E345" s="24"/>
      <c r="F345" s="24"/>
      <c r="G345" s="24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 spans="1:26" ht="15.75" customHeight="1" x14ac:dyDescent="0.25">
      <c r="A346" s="24"/>
      <c r="B346" s="24"/>
      <c r="C346" s="24"/>
      <c r="D346" s="24"/>
      <c r="E346" s="24"/>
      <c r="F346" s="24"/>
      <c r="G346" s="24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 spans="1:26" ht="15.75" customHeight="1" x14ac:dyDescent="0.25">
      <c r="A347" s="24"/>
      <c r="B347" s="24"/>
      <c r="C347" s="24"/>
      <c r="D347" s="24"/>
      <c r="E347" s="24"/>
      <c r="F347" s="24"/>
      <c r="G347" s="24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 spans="1:26" ht="15.75" customHeight="1" x14ac:dyDescent="0.25">
      <c r="A348" s="24"/>
      <c r="B348" s="24"/>
      <c r="C348" s="24"/>
      <c r="D348" s="24"/>
      <c r="E348" s="24"/>
      <c r="F348" s="24"/>
      <c r="G348" s="24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 spans="1:26" ht="15.75" customHeight="1" x14ac:dyDescent="0.25">
      <c r="A349" s="24"/>
      <c r="B349" s="24"/>
      <c r="C349" s="24"/>
      <c r="D349" s="24"/>
      <c r="E349" s="24"/>
      <c r="F349" s="24"/>
      <c r="G349" s="24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 spans="1:26" ht="15.75" customHeight="1" x14ac:dyDescent="0.25">
      <c r="A350" s="24"/>
      <c r="B350" s="24"/>
      <c r="C350" s="24"/>
      <c r="D350" s="24"/>
      <c r="E350" s="24"/>
      <c r="F350" s="24"/>
      <c r="G350" s="24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 spans="1:26" ht="15.75" customHeight="1" x14ac:dyDescent="0.25">
      <c r="A351" s="24"/>
      <c r="B351" s="24"/>
      <c r="C351" s="24"/>
      <c r="D351" s="24"/>
      <c r="E351" s="24"/>
      <c r="F351" s="24"/>
      <c r="G351" s="24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 spans="1:26" ht="15.75" customHeight="1" x14ac:dyDescent="0.25">
      <c r="A352" s="24"/>
      <c r="B352" s="24"/>
      <c r="C352" s="24"/>
      <c r="D352" s="24"/>
      <c r="E352" s="24"/>
      <c r="F352" s="24"/>
      <c r="G352" s="24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 spans="1:26" ht="15.75" customHeight="1" x14ac:dyDescent="0.25">
      <c r="A353" s="24"/>
      <c r="B353" s="24"/>
      <c r="C353" s="24"/>
      <c r="D353" s="24"/>
      <c r="E353" s="24"/>
      <c r="F353" s="24"/>
      <c r="G353" s="24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 spans="1:26" ht="15.75" customHeight="1" x14ac:dyDescent="0.25">
      <c r="A354" s="24"/>
      <c r="B354" s="24"/>
      <c r="C354" s="24"/>
      <c r="D354" s="24"/>
      <c r="E354" s="24"/>
      <c r="F354" s="24"/>
      <c r="G354" s="24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 spans="1:26" ht="15.75" customHeight="1" x14ac:dyDescent="0.25">
      <c r="A355" s="24"/>
      <c r="B355" s="24"/>
      <c r="C355" s="24"/>
      <c r="D355" s="24"/>
      <c r="E355" s="24"/>
      <c r="F355" s="24"/>
      <c r="G355" s="24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 spans="1:26" ht="15.75" customHeight="1" x14ac:dyDescent="0.25">
      <c r="A356" s="24"/>
      <c r="B356" s="24"/>
      <c r="C356" s="24"/>
      <c r="D356" s="24"/>
      <c r="E356" s="24"/>
      <c r="F356" s="24"/>
      <c r="G356" s="24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 spans="1:26" ht="15.75" customHeight="1" x14ac:dyDescent="0.25">
      <c r="A357" s="24"/>
      <c r="B357" s="24"/>
      <c r="C357" s="24"/>
      <c r="D357" s="24"/>
      <c r="E357" s="24"/>
      <c r="F357" s="24"/>
      <c r="G357" s="24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 spans="1:26" ht="15.75" customHeight="1" x14ac:dyDescent="0.25">
      <c r="A358" s="24"/>
      <c r="B358" s="24"/>
      <c r="C358" s="24"/>
      <c r="D358" s="24"/>
      <c r="E358" s="24"/>
      <c r="F358" s="24"/>
      <c r="G358" s="24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 spans="1:26" ht="15.75" customHeight="1" x14ac:dyDescent="0.25">
      <c r="A359" s="24"/>
      <c r="B359" s="24"/>
      <c r="C359" s="24"/>
      <c r="D359" s="24"/>
      <c r="E359" s="24"/>
      <c r="F359" s="24"/>
      <c r="G359" s="24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 spans="1:26" ht="15.75" customHeight="1" x14ac:dyDescent="0.25">
      <c r="A360" s="24"/>
      <c r="B360" s="24"/>
      <c r="C360" s="24"/>
      <c r="D360" s="24"/>
      <c r="E360" s="24"/>
      <c r="F360" s="24"/>
      <c r="G360" s="24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 spans="1:26" ht="15.75" customHeight="1" x14ac:dyDescent="0.25">
      <c r="A361" s="24"/>
      <c r="B361" s="24"/>
      <c r="C361" s="24"/>
      <c r="D361" s="24"/>
      <c r="E361" s="24"/>
      <c r="F361" s="24"/>
      <c r="G361" s="24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 spans="1:26" ht="15.75" customHeight="1" x14ac:dyDescent="0.25">
      <c r="A362" s="24"/>
      <c r="B362" s="24"/>
      <c r="C362" s="24"/>
      <c r="D362" s="24"/>
      <c r="E362" s="24"/>
      <c r="F362" s="24"/>
      <c r="G362" s="24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 spans="1:26" ht="15.75" customHeight="1" x14ac:dyDescent="0.25">
      <c r="A363" s="24"/>
      <c r="B363" s="24"/>
      <c r="C363" s="24"/>
      <c r="D363" s="24"/>
      <c r="E363" s="24"/>
      <c r="F363" s="24"/>
      <c r="G363" s="24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 spans="1:26" ht="15.75" customHeight="1" x14ac:dyDescent="0.25">
      <c r="A364" s="24"/>
      <c r="B364" s="24"/>
      <c r="C364" s="24"/>
      <c r="D364" s="24"/>
      <c r="E364" s="24"/>
      <c r="F364" s="24"/>
      <c r="G364" s="24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 spans="1:26" ht="15.75" customHeight="1" x14ac:dyDescent="0.25">
      <c r="A365" s="24"/>
      <c r="B365" s="24"/>
      <c r="C365" s="24"/>
      <c r="D365" s="24"/>
      <c r="E365" s="24"/>
      <c r="F365" s="24"/>
      <c r="G365" s="24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 spans="1:26" ht="15.75" customHeight="1" x14ac:dyDescent="0.25">
      <c r="A366" s="24"/>
      <c r="B366" s="24"/>
      <c r="C366" s="24"/>
      <c r="D366" s="24"/>
      <c r="E366" s="24"/>
      <c r="F366" s="24"/>
      <c r="G366" s="24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 spans="1:26" ht="15.75" customHeight="1" x14ac:dyDescent="0.25">
      <c r="A367" s="24"/>
      <c r="B367" s="24"/>
      <c r="C367" s="24"/>
      <c r="D367" s="24"/>
      <c r="E367" s="24"/>
      <c r="F367" s="24"/>
      <c r="G367" s="24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 spans="1:26" ht="15.75" customHeight="1" x14ac:dyDescent="0.25">
      <c r="A368" s="24"/>
      <c r="B368" s="24"/>
      <c r="C368" s="24"/>
      <c r="D368" s="24"/>
      <c r="E368" s="24"/>
      <c r="F368" s="24"/>
      <c r="G368" s="24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 spans="1:26" ht="15.75" customHeight="1" x14ac:dyDescent="0.25">
      <c r="A369" s="24"/>
      <c r="B369" s="24"/>
      <c r="C369" s="24"/>
      <c r="D369" s="24"/>
      <c r="E369" s="24"/>
      <c r="F369" s="24"/>
      <c r="G369" s="24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 spans="1:26" ht="15.75" customHeight="1" x14ac:dyDescent="0.25">
      <c r="A370" s="24"/>
      <c r="B370" s="24"/>
      <c r="C370" s="24"/>
      <c r="D370" s="24"/>
      <c r="E370" s="24"/>
      <c r="F370" s="24"/>
      <c r="G370" s="24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 spans="1:26" ht="15.75" customHeight="1" x14ac:dyDescent="0.25">
      <c r="A371" s="24"/>
      <c r="B371" s="24"/>
      <c r="C371" s="24"/>
      <c r="D371" s="24"/>
      <c r="E371" s="24"/>
      <c r="F371" s="24"/>
      <c r="G371" s="24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 spans="1:26" ht="15.75" customHeight="1" x14ac:dyDescent="0.25">
      <c r="A372" s="24"/>
      <c r="B372" s="24"/>
      <c r="C372" s="24"/>
      <c r="D372" s="24"/>
      <c r="E372" s="24"/>
      <c r="F372" s="24"/>
      <c r="G372" s="24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 spans="1:26" ht="15.75" customHeight="1" x14ac:dyDescent="0.25">
      <c r="A373" s="24"/>
      <c r="B373" s="24"/>
      <c r="C373" s="24"/>
      <c r="D373" s="24"/>
      <c r="E373" s="24"/>
      <c r="F373" s="24"/>
      <c r="G373" s="24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 spans="1:26" ht="15.75" customHeight="1" x14ac:dyDescent="0.25">
      <c r="A374" s="24"/>
      <c r="B374" s="24"/>
      <c r="C374" s="24"/>
      <c r="D374" s="24"/>
      <c r="E374" s="24"/>
      <c r="F374" s="24"/>
      <c r="G374" s="24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 spans="1:26" ht="15.75" customHeight="1" x14ac:dyDescent="0.25">
      <c r="A375" s="24"/>
      <c r="B375" s="24"/>
      <c r="C375" s="24"/>
      <c r="D375" s="24"/>
      <c r="E375" s="24"/>
      <c r="F375" s="24"/>
      <c r="G375" s="24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 spans="1:26" ht="15.75" customHeight="1" x14ac:dyDescent="0.25">
      <c r="A376" s="24"/>
      <c r="B376" s="24"/>
      <c r="C376" s="24"/>
      <c r="D376" s="24"/>
      <c r="E376" s="24"/>
      <c r="F376" s="24"/>
      <c r="G376" s="24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 spans="1:26" ht="15.75" customHeight="1" x14ac:dyDescent="0.25">
      <c r="A377" s="24"/>
      <c r="B377" s="24"/>
      <c r="C377" s="24"/>
      <c r="D377" s="24"/>
      <c r="E377" s="24"/>
      <c r="F377" s="24"/>
      <c r="G377" s="24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 spans="1:26" ht="15.75" customHeight="1" x14ac:dyDescent="0.25">
      <c r="A378" s="24"/>
      <c r="B378" s="24"/>
      <c r="C378" s="24"/>
      <c r="D378" s="24"/>
      <c r="E378" s="24"/>
      <c r="F378" s="24"/>
      <c r="G378" s="24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 spans="1:26" ht="15.75" customHeight="1" x14ac:dyDescent="0.25">
      <c r="A379" s="24"/>
      <c r="B379" s="24"/>
      <c r="C379" s="24"/>
      <c r="D379" s="24"/>
      <c r="E379" s="24"/>
      <c r="F379" s="24"/>
      <c r="G379" s="24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 spans="1:26" ht="15.75" customHeight="1" x14ac:dyDescent="0.25">
      <c r="A380" s="24"/>
      <c r="B380" s="24"/>
      <c r="C380" s="24"/>
      <c r="D380" s="24"/>
      <c r="E380" s="24"/>
      <c r="F380" s="24"/>
      <c r="G380" s="24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 spans="1:26" ht="15.75" customHeight="1" x14ac:dyDescent="0.25">
      <c r="A381" s="24"/>
      <c r="B381" s="24"/>
      <c r="C381" s="24"/>
      <c r="D381" s="24"/>
      <c r="E381" s="24"/>
      <c r="F381" s="24"/>
      <c r="G381" s="24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 spans="1:26" ht="15.75" customHeight="1" x14ac:dyDescent="0.25">
      <c r="A382" s="24"/>
      <c r="B382" s="24"/>
      <c r="C382" s="24"/>
      <c r="D382" s="24"/>
      <c r="E382" s="24"/>
      <c r="F382" s="24"/>
      <c r="G382" s="24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 spans="1:26" ht="15.75" customHeight="1" x14ac:dyDescent="0.25">
      <c r="A383" s="24"/>
      <c r="B383" s="24"/>
      <c r="C383" s="24"/>
      <c r="D383" s="24"/>
      <c r="E383" s="24"/>
      <c r="F383" s="24"/>
      <c r="G383" s="24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 spans="1:26" ht="15.75" customHeight="1" x14ac:dyDescent="0.25">
      <c r="A384" s="24"/>
      <c r="B384" s="24"/>
      <c r="C384" s="24"/>
      <c r="D384" s="24"/>
      <c r="E384" s="24"/>
      <c r="F384" s="24"/>
      <c r="G384" s="24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 spans="1:26" ht="15.75" customHeight="1" x14ac:dyDescent="0.25">
      <c r="A385" s="24"/>
      <c r="B385" s="24"/>
      <c r="C385" s="24"/>
      <c r="D385" s="24"/>
      <c r="E385" s="24"/>
      <c r="F385" s="24"/>
      <c r="G385" s="24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 spans="1:26" ht="15.75" customHeight="1" x14ac:dyDescent="0.25">
      <c r="A386" s="24"/>
      <c r="B386" s="24"/>
      <c r="C386" s="24"/>
      <c r="D386" s="24"/>
      <c r="E386" s="24"/>
      <c r="F386" s="24"/>
      <c r="G386" s="24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 spans="1:26" ht="15.75" customHeight="1" x14ac:dyDescent="0.25">
      <c r="A387" s="24"/>
      <c r="B387" s="24"/>
      <c r="C387" s="24"/>
      <c r="D387" s="24"/>
      <c r="E387" s="24"/>
      <c r="F387" s="24"/>
      <c r="G387" s="24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 spans="1:26" ht="15.75" customHeight="1" x14ac:dyDescent="0.25">
      <c r="A388" s="24"/>
      <c r="B388" s="24"/>
      <c r="C388" s="24"/>
      <c r="D388" s="24"/>
      <c r="E388" s="24"/>
      <c r="F388" s="24"/>
      <c r="G388" s="24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 spans="1:26" ht="15.75" customHeight="1" x14ac:dyDescent="0.25">
      <c r="A389" s="24"/>
      <c r="B389" s="24"/>
      <c r="C389" s="24"/>
      <c r="D389" s="24"/>
      <c r="E389" s="24"/>
      <c r="F389" s="24"/>
      <c r="G389" s="24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 spans="1:26" ht="15.75" customHeight="1" x14ac:dyDescent="0.25">
      <c r="A390" s="24"/>
      <c r="B390" s="24"/>
      <c r="C390" s="24"/>
      <c r="D390" s="24"/>
      <c r="E390" s="24"/>
      <c r="F390" s="24"/>
      <c r="G390" s="24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 spans="1:26" ht="15.75" customHeight="1" x14ac:dyDescent="0.25">
      <c r="A391" s="24"/>
      <c r="B391" s="24"/>
      <c r="C391" s="24"/>
      <c r="D391" s="24"/>
      <c r="E391" s="24"/>
      <c r="F391" s="24"/>
      <c r="G391" s="24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 spans="1:26" ht="15.75" customHeight="1" x14ac:dyDescent="0.25">
      <c r="A392" s="24"/>
      <c r="B392" s="24"/>
      <c r="C392" s="24"/>
      <c r="D392" s="24"/>
      <c r="E392" s="24"/>
      <c r="F392" s="24"/>
      <c r="G392" s="24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 spans="1:26" ht="15.75" customHeight="1" x14ac:dyDescent="0.25">
      <c r="A393" s="24"/>
      <c r="B393" s="24"/>
      <c r="C393" s="24"/>
      <c r="D393" s="24"/>
      <c r="E393" s="24"/>
      <c r="F393" s="24"/>
      <c r="G393" s="24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 spans="1:26" ht="15.75" customHeight="1" x14ac:dyDescent="0.25">
      <c r="A394" s="24"/>
      <c r="B394" s="24"/>
      <c r="C394" s="24"/>
      <c r="D394" s="24"/>
      <c r="E394" s="24"/>
      <c r="F394" s="24"/>
      <c r="G394" s="24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 spans="1:26" ht="15.75" customHeight="1" x14ac:dyDescent="0.25">
      <c r="A395" s="24"/>
      <c r="B395" s="24"/>
      <c r="C395" s="24"/>
      <c r="D395" s="24"/>
      <c r="E395" s="24"/>
      <c r="F395" s="24"/>
      <c r="G395" s="24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 spans="1:26" ht="15.75" customHeight="1" x14ac:dyDescent="0.25">
      <c r="A396" s="24"/>
      <c r="B396" s="24"/>
      <c r="C396" s="24"/>
      <c r="D396" s="24"/>
      <c r="E396" s="24"/>
      <c r="F396" s="24"/>
      <c r="G396" s="24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 spans="1:26" ht="15.75" customHeight="1" x14ac:dyDescent="0.25">
      <c r="A397" s="24"/>
      <c r="B397" s="24"/>
      <c r="C397" s="24"/>
      <c r="D397" s="24"/>
      <c r="E397" s="24"/>
      <c r="F397" s="24"/>
      <c r="G397" s="24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 spans="1:26" ht="15.75" customHeight="1" x14ac:dyDescent="0.25">
      <c r="A398" s="24"/>
      <c r="B398" s="24"/>
      <c r="C398" s="24"/>
      <c r="D398" s="24"/>
      <c r="E398" s="24"/>
      <c r="F398" s="24"/>
      <c r="G398" s="24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 spans="1:26" ht="15.75" customHeight="1" x14ac:dyDescent="0.25">
      <c r="A399" s="24"/>
      <c r="B399" s="24"/>
      <c r="C399" s="24"/>
      <c r="D399" s="24"/>
      <c r="E399" s="24"/>
      <c r="F399" s="24"/>
      <c r="G399" s="24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 spans="1:26" ht="15.75" customHeight="1" x14ac:dyDescent="0.25">
      <c r="A400" s="24"/>
      <c r="B400" s="24"/>
      <c r="C400" s="24"/>
      <c r="D400" s="24"/>
      <c r="E400" s="24"/>
      <c r="F400" s="24"/>
      <c r="G400" s="24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 spans="1:26" ht="15.75" customHeight="1" x14ac:dyDescent="0.25">
      <c r="A401" s="24"/>
      <c r="B401" s="24"/>
      <c r="C401" s="24"/>
      <c r="D401" s="24"/>
      <c r="E401" s="24"/>
      <c r="F401" s="24"/>
      <c r="G401" s="24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 spans="1:26" ht="15.75" customHeight="1" x14ac:dyDescent="0.25">
      <c r="A402" s="24"/>
      <c r="B402" s="24"/>
      <c r="C402" s="24"/>
      <c r="D402" s="24"/>
      <c r="E402" s="24"/>
      <c r="F402" s="24"/>
      <c r="G402" s="24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 spans="1:26" ht="15.75" customHeight="1" x14ac:dyDescent="0.25">
      <c r="A403" s="24"/>
      <c r="B403" s="24"/>
      <c r="C403" s="24"/>
      <c r="D403" s="24"/>
      <c r="E403" s="24"/>
      <c r="F403" s="24"/>
      <c r="G403" s="24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 spans="1:26" ht="15.75" customHeight="1" x14ac:dyDescent="0.25">
      <c r="A404" s="24"/>
      <c r="B404" s="24"/>
      <c r="C404" s="24"/>
      <c r="D404" s="24"/>
      <c r="E404" s="24"/>
      <c r="F404" s="24"/>
      <c r="G404" s="24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 spans="1:26" ht="15.75" customHeight="1" x14ac:dyDescent="0.25">
      <c r="A405" s="24"/>
      <c r="B405" s="24"/>
      <c r="C405" s="24"/>
      <c r="D405" s="24"/>
      <c r="E405" s="24"/>
      <c r="F405" s="24"/>
      <c r="G405" s="24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 spans="1:26" ht="15.75" customHeight="1" x14ac:dyDescent="0.25">
      <c r="A406" s="24"/>
      <c r="B406" s="24"/>
      <c r="C406" s="24"/>
      <c r="D406" s="24"/>
      <c r="E406" s="24"/>
      <c r="F406" s="24"/>
      <c r="G406" s="24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 spans="1:26" ht="15.75" customHeight="1" x14ac:dyDescent="0.25">
      <c r="A407" s="24"/>
      <c r="B407" s="24"/>
      <c r="C407" s="24"/>
      <c r="D407" s="24"/>
      <c r="E407" s="24"/>
      <c r="F407" s="24"/>
      <c r="G407" s="24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 spans="1:26" ht="15.75" customHeight="1" x14ac:dyDescent="0.25">
      <c r="A408" s="24"/>
      <c r="B408" s="24"/>
      <c r="C408" s="24"/>
      <c r="D408" s="24"/>
      <c r="E408" s="24"/>
      <c r="F408" s="24"/>
      <c r="G408" s="24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 spans="1:26" ht="15.75" customHeight="1" x14ac:dyDescent="0.25">
      <c r="A409" s="24"/>
      <c r="B409" s="24"/>
      <c r="C409" s="24"/>
      <c r="D409" s="24"/>
      <c r="E409" s="24"/>
      <c r="F409" s="24"/>
      <c r="G409" s="24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 spans="1:26" ht="15.75" customHeight="1" x14ac:dyDescent="0.25">
      <c r="A410" s="24"/>
      <c r="B410" s="24"/>
      <c r="C410" s="24"/>
      <c r="D410" s="24"/>
      <c r="E410" s="24"/>
      <c r="F410" s="24"/>
      <c r="G410" s="24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 spans="1:26" ht="15.75" customHeight="1" x14ac:dyDescent="0.25">
      <c r="A411" s="24"/>
      <c r="B411" s="24"/>
      <c r="C411" s="24"/>
      <c r="D411" s="24"/>
      <c r="E411" s="24"/>
      <c r="F411" s="24"/>
      <c r="G411" s="24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 spans="1:26" ht="15.75" customHeight="1" x14ac:dyDescent="0.25">
      <c r="A412" s="24"/>
      <c r="B412" s="24"/>
      <c r="C412" s="24"/>
      <c r="D412" s="24"/>
      <c r="E412" s="24"/>
      <c r="F412" s="24"/>
      <c r="G412" s="24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 spans="1:26" ht="15.75" customHeight="1" x14ac:dyDescent="0.25">
      <c r="A413" s="24"/>
      <c r="B413" s="24"/>
      <c r="C413" s="24"/>
      <c r="D413" s="24"/>
      <c r="E413" s="24"/>
      <c r="F413" s="24"/>
      <c r="G413" s="24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 spans="1:26" ht="15.75" customHeight="1" x14ac:dyDescent="0.25">
      <c r="A414" s="24"/>
      <c r="B414" s="24"/>
      <c r="C414" s="24"/>
      <c r="D414" s="24"/>
      <c r="E414" s="24"/>
      <c r="F414" s="24"/>
      <c r="G414" s="24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 spans="1:26" ht="15.75" customHeight="1" x14ac:dyDescent="0.25">
      <c r="A415" s="24"/>
      <c r="B415" s="24"/>
      <c r="C415" s="24"/>
      <c r="D415" s="24"/>
      <c r="E415" s="24"/>
      <c r="F415" s="24"/>
      <c r="G415" s="24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 spans="1:26" ht="15.75" customHeight="1" x14ac:dyDescent="0.25">
      <c r="A416" s="24"/>
      <c r="B416" s="24"/>
      <c r="C416" s="24"/>
      <c r="D416" s="24"/>
      <c r="E416" s="24"/>
      <c r="F416" s="24"/>
      <c r="G416" s="24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 spans="1:26" ht="15.75" customHeight="1" x14ac:dyDescent="0.25">
      <c r="A417" s="24"/>
      <c r="B417" s="24"/>
      <c r="C417" s="24"/>
      <c r="D417" s="24"/>
      <c r="E417" s="24"/>
      <c r="F417" s="24"/>
      <c r="G417" s="24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 spans="1:26" ht="15.75" customHeight="1" x14ac:dyDescent="0.25">
      <c r="A418" s="24"/>
      <c r="B418" s="24"/>
      <c r="C418" s="24"/>
      <c r="D418" s="24"/>
      <c r="E418" s="24"/>
      <c r="F418" s="24"/>
      <c r="G418" s="24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 spans="1:26" ht="15.75" customHeight="1" x14ac:dyDescent="0.25">
      <c r="A419" s="24"/>
      <c r="B419" s="24"/>
      <c r="C419" s="24"/>
      <c r="D419" s="24"/>
      <c r="E419" s="24"/>
      <c r="F419" s="24"/>
      <c r="G419" s="24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 spans="1:26" ht="15.75" customHeight="1" x14ac:dyDescent="0.25">
      <c r="A420" s="24"/>
      <c r="B420" s="24"/>
      <c r="C420" s="24"/>
      <c r="D420" s="24"/>
      <c r="E420" s="24"/>
      <c r="F420" s="24"/>
      <c r="G420" s="24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 spans="1:26" ht="15.75" customHeight="1" x14ac:dyDescent="0.25">
      <c r="A421" s="24"/>
      <c r="B421" s="24"/>
      <c r="C421" s="24"/>
      <c r="D421" s="24"/>
      <c r="E421" s="24"/>
      <c r="F421" s="24"/>
      <c r="G421" s="24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 spans="1:26" ht="15.75" customHeight="1" x14ac:dyDescent="0.25">
      <c r="A422" s="24"/>
      <c r="B422" s="24"/>
      <c r="C422" s="24"/>
      <c r="D422" s="24"/>
      <c r="E422" s="24"/>
      <c r="F422" s="24"/>
      <c r="G422" s="24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 spans="1:26" ht="15.75" customHeight="1" x14ac:dyDescent="0.25">
      <c r="A423" s="24"/>
      <c r="B423" s="24"/>
      <c r="C423" s="24"/>
      <c r="D423" s="24"/>
      <c r="E423" s="24"/>
      <c r="F423" s="24"/>
      <c r="G423" s="24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 spans="1:26" ht="15.75" customHeight="1" x14ac:dyDescent="0.25">
      <c r="A424" s="24"/>
      <c r="B424" s="24"/>
      <c r="C424" s="24"/>
      <c r="D424" s="24"/>
      <c r="E424" s="24"/>
      <c r="F424" s="24"/>
      <c r="G424" s="24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 spans="1:26" ht="15.75" customHeight="1" x14ac:dyDescent="0.25">
      <c r="A425" s="24"/>
      <c r="B425" s="24"/>
      <c r="C425" s="24"/>
      <c r="D425" s="24"/>
      <c r="E425" s="24"/>
      <c r="F425" s="24"/>
      <c r="G425" s="24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 spans="1:26" ht="15.75" customHeight="1" x14ac:dyDescent="0.25">
      <c r="A426" s="24"/>
      <c r="B426" s="24"/>
      <c r="C426" s="24"/>
      <c r="D426" s="24"/>
      <c r="E426" s="24"/>
      <c r="F426" s="24"/>
      <c r="G426" s="24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 spans="1:26" ht="15.75" customHeight="1" x14ac:dyDescent="0.25">
      <c r="A427" s="24"/>
      <c r="B427" s="24"/>
      <c r="C427" s="24"/>
      <c r="D427" s="24"/>
      <c r="E427" s="24"/>
      <c r="F427" s="24"/>
      <c r="G427" s="24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 spans="1:26" ht="15.75" customHeight="1" x14ac:dyDescent="0.25">
      <c r="A428" s="24"/>
      <c r="B428" s="24"/>
      <c r="C428" s="24"/>
      <c r="D428" s="24"/>
      <c r="E428" s="24"/>
      <c r="F428" s="24"/>
      <c r="G428" s="24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 spans="1:26" ht="15.75" customHeight="1" x14ac:dyDescent="0.25">
      <c r="A429" s="24"/>
      <c r="B429" s="24"/>
      <c r="C429" s="24"/>
      <c r="D429" s="24"/>
      <c r="E429" s="24"/>
      <c r="F429" s="24"/>
      <c r="G429" s="24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 spans="1:26" ht="15.75" customHeight="1" x14ac:dyDescent="0.25">
      <c r="A430" s="24"/>
      <c r="B430" s="24"/>
      <c r="C430" s="24"/>
      <c r="D430" s="24"/>
      <c r="E430" s="24"/>
      <c r="F430" s="24"/>
      <c r="G430" s="24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 spans="1:26" ht="15.75" customHeight="1" x14ac:dyDescent="0.25">
      <c r="A431" s="24"/>
      <c r="B431" s="24"/>
      <c r="C431" s="24"/>
      <c r="D431" s="24"/>
      <c r="E431" s="24"/>
      <c r="F431" s="24"/>
      <c r="G431" s="24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 spans="1:26" ht="15.75" customHeight="1" x14ac:dyDescent="0.25">
      <c r="A432" s="24"/>
      <c r="B432" s="24"/>
      <c r="C432" s="24"/>
      <c r="D432" s="24"/>
      <c r="E432" s="24"/>
      <c r="F432" s="24"/>
      <c r="G432" s="24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 spans="1:26" ht="15.75" customHeight="1" x14ac:dyDescent="0.25">
      <c r="A433" s="24"/>
      <c r="B433" s="24"/>
      <c r="C433" s="24"/>
      <c r="D433" s="24"/>
      <c r="E433" s="24"/>
      <c r="F433" s="24"/>
      <c r="G433" s="24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 spans="1:26" ht="15.75" customHeight="1" x14ac:dyDescent="0.25">
      <c r="A434" s="24"/>
      <c r="B434" s="24"/>
      <c r="C434" s="24"/>
      <c r="D434" s="24"/>
      <c r="E434" s="24"/>
      <c r="F434" s="24"/>
      <c r="G434" s="24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 spans="1:26" ht="15.75" customHeight="1" x14ac:dyDescent="0.25">
      <c r="A435" s="24"/>
      <c r="B435" s="24"/>
      <c r="C435" s="24"/>
      <c r="D435" s="24"/>
      <c r="E435" s="24"/>
      <c r="F435" s="24"/>
      <c r="G435" s="24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 spans="1:26" ht="15.75" customHeight="1" x14ac:dyDescent="0.25">
      <c r="A436" s="24"/>
      <c r="B436" s="24"/>
      <c r="C436" s="24"/>
      <c r="D436" s="24"/>
      <c r="E436" s="24"/>
      <c r="F436" s="24"/>
      <c r="G436" s="24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 spans="1:26" ht="15.75" customHeight="1" x14ac:dyDescent="0.25">
      <c r="A437" s="24"/>
      <c r="B437" s="24"/>
      <c r="C437" s="24"/>
      <c r="D437" s="24"/>
      <c r="E437" s="24"/>
      <c r="F437" s="24"/>
      <c r="G437" s="24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 spans="1:26" ht="15.75" customHeight="1" x14ac:dyDescent="0.25">
      <c r="A438" s="24"/>
      <c r="B438" s="24"/>
      <c r="C438" s="24"/>
      <c r="D438" s="24"/>
      <c r="E438" s="24"/>
      <c r="F438" s="24"/>
      <c r="G438" s="24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 spans="1:26" ht="15.75" customHeight="1" x14ac:dyDescent="0.25">
      <c r="A439" s="24"/>
      <c r="B439" s="24"/>
      <c r="C439" s="24"/>
      <c r="D439" s="24"/>
      <c r="E439" s="24"/>
      <c r="F439" s="24"/>
      <c r="G439" s="24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 spans="1:26" ht="15.75" customHeight="1" x14ac:dyDescent="0.25">
      <c r="A440" s="24"/>
      <c r="B440" s="24"/>
      <c r="C440" s="24"/>
      <c r="D440" s="24"/>
      <c r="E440" s="24"/>
      <c r="F440" s="24"/>
      <c r="G440" s="24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 spans="1:26" ht="15.75" customHeight="1" x14ac:dyDescent="0.25">
      <c r="A441" s="24"/>
      <c r="B441" s="24"/>
      <c r="C441" s="24"/>
      <c r="D441" s="24"/>
      <c r="E441" s="24"/>
      <c r="F441" s="24"/>
      <c r="G441" s="24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 spans="1:26" ht="15.75" customHeight="1" x14ac:dyDescent="0.25">
      <c r="A442" s="24"/>
      <c r="B442" s="24"/>
      <c r="C442" s="24"/>
      <c r="D442" s="24"/>
      <c r="E442" s="24"/>
      <c r="F442" s="24"/>
      <c r="G442" s="24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 spans="1:26" ht="15.75" customHeight="1" x14ac:dyDescent="0.25">
      <c r="A443" s="24"/>
      <c r="B443" s="24"/>
      <c r="C443" s="24"/>
      <c r="D443" s="24"/>
      <c r="E443" s="24"/>
      <c r="F443" s="24"/>
      <c r="G443" s="24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 spans="1:26" ht="15.75" customHeight="1" x14ac:dyDescent="0.25">
      <c r="A444" s="24"/>
      <c r="B444" s="24"/>
      <c r="C444" s="24"/>
      <c r="D444" s="24"/>
      <c r="E444" s="24"/>
      <c r="F444" s="24"/>
      <c r="G444" s="24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 spans="1:26" ht="15.75" customHeight="1" x14ac:dyDescent="0.25">
      <c r="A445" s="24"/>
      <c r="B445" s="24"/>
      <c r="C445" s="24"/>
      <c r="D445" s="24"/>
      <c r="E445" s="24"/>
      <c r="F445" s="24"/>
      <c r="G445" s="24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 spans="1:26" ht="15.75" customHeight="1" x14ac:dyDescent="0.25">
      <c r="A446" s="24"/>
      <c r="B446" s="24"/>
      <c r="C446" s="24"/>
      <c r="D446" s="24"/>
      <c r="E446" s="24"/>
      <c r="F446" s="24"/>
      <c r="G446" s="24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 spans="1:26" ht="15.75" customHeight="1" x14ac:dyDescent="0.25">
      <c r="A447" s="24"/>
      <c r="B447" s="24"/>
      <c r="C447" s="24"/>
      <c r="D447" s="24"/>
      <c r="E447" s="24"/>
      <c r="F447" s="24"/>
      <c r="G447" s="24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 spans="1:26" ht="15.75" customHeight="1" x14ac:dyDescent="0.25">
      <c r="A448" s="24"/>
      <c r="B448" s="24"/>
      <c r="C448" s="24"/>
      <c r="D448" s="24"/>
      <c r="E448" s="24"/>
      <c r="F448" s="24"/>
      <c r="G448" s="24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 spans="1:26" ht="15.75" customHeight="1" x14ac:dyDescent="0.25">
      <c r="A449" s="24"/>
      <c r="B449" s="24"/>
      <c r="C449" s="24"/>
      <c r="D449" s="24"/>
      <c r="E449" s="24"/>
      <c r="F449" s="24"/>
      <c r="G449" s="24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 spans="1:26" ht="15.75" customHeight="1" x14ac:dyDescent="0.25">
      <c r="A450" s="24"/>
      <c r="B450" s="24"/>
      <c r="C450" s="24"/>
      <c r="D450" s="24"/>
      <c r="E450" s="24"/>
      <c r="F450" s="24"/>
      <c r="G450" s="24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 spans="1:26" ht="15.75" customHeight="1" x14ac:dyDescent="0.25">
      <c r="A451" s="24"/>
      <c r="B451" s="24"/>
      <c r="C451" s="24"/>
      <c r="D451" s="24"/>
      <c r="E451" s="24"/>
      <c r="F451" s="24"/>
      <c r="G451" s="24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 spans="1:26" ht="15.75" customHeight="1" x14ac:dyDescent="0.25">
      <c r="A452" s="24"/>
      <c r="B452" s="24"/>
      <c r="C452" s="24"/>
      <c r="D452" s="24"/>
      <c r="E452" s="24"/>
      <c r="F452" s="24"/>
      <c r="G452" s="24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 spans="1:26" ht="15.75" customHeight="1" x14ac:dyDescent="0.25">
      <c r="A453" s="24"/>
      <c r="B453" s="24"/>
      <c r="C453" s="24"/>
      <c r="D453" s="24"/>
      <c r="E453" s="24"/>
      <c r="F453" s="24"/>
      <c r="G453" s="24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 spans="1:26" ht="15.75" customHeight="1" x14ac:dyDescent="0.25">
      <c r="A454" s="24"/>
      <c r="B454" s="24"/>
      <c r="C454" s="24"/>
      <c r="D454" s="24"/>
      <c r="E454" s="24"/>
      <c r="F454" s="24"/>
      <c r="G454" s="24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 spans="1:26" ht="15.75" customHeight="1" x14ac:dyDescent="0.25">
      <c r="A455" s="24"/>
      <c r="B455" s="24"/>
      <c r="C455" s="24"/>
      <c r="D455" s="24"/>
      <c r="E455" s="24"/>
      <c r="F455" s="24"/>
      <c r="G455" s="24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 spans="1:26" ht="15.75" customHeight="1" x14ac:dyDescent="0.25">
      <c r="A456" s="24"/>
      <c r="B456" s="24"/>
      <c r="C456" s="24"/>
      <c r="D456" s="24"/>
      <c r="E456" s="24"/>
      <c r="F456" s="24"/>
      <c r="G456" s="24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 spans="1:26" ht="15.75" customHeight="1" x14ac:dyDescent="0.25">
      <c r="A457" s="24"/>
      <c r="B457" s="24"/>
      <c r="C457" s="24"/>
      <c r="D457" s="24"/>
      <c r="E457" s="24"/>
      <c r="F457" s="24"/>
      <c r="G457" s="24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 spans="1:26" ht="15.75" customHeight="1" x14ac:dyDescent="0.25">
      <c r="A458" s="24"/>
      <c r="B458" s="24"/>
      <c r="C458" s="24"/>
      <c r="D458" s="24"/>
      <c r="E458" s="24"/>
      <c r="F458" s="24"/>
      <c r="G458" s="24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 spans="1:26" ht="15.75" customHeight="1" x14ac:dyDescent="0.25">
      <c r="A459" s="24"/>
      <c r="B459" s="24"/>
      <c r="C459" s="24"/>
      <c r="D459" s="24"/>
      <c r="E459" s="24"/>
      <c r="F459" s="24"/>
      <c r="G459" s="24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 spans="1:26" ht="15.75" customHeight="1" x14ac:dyDescent="0.25">
      <c r="A460" s="24"/>
      <c r="B460" s="24"/>
      <c r="C460" s="24"/>
      <c r="D460" s="24"/>
      <c r="E460" s="24"/>
      <c r="F460" s="24"/>
      <c r="G460" s="24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 spans="1:26" ht="15.75" customHeight="1" x14ac:dyDescent="0.25">
      <c r="A461" s="24"/>
      <c r="B461" s="24"/>
      <c r="C461" s="24"/>
      <c r="D461" s="24"/>
      <c r="E461" s="24"/>
      <c r="F461" s="24"/>
      <c r="G461" s="24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 spans="1:26" ht="15.75" customHeight="1" x14ac:dyDescent="0.25">
      <c r="A462" s="24"/>
      <c r="B462" s="24"/>
      <c r="C462" s="24"/>
      <c r="D462" s="24"/>
      <c r="E462" s="24"/>
      <c r="F462" s="24"/>
      <c r="G462" s="24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 spans="1:26" ht="15.75" customHeight="1" x14ac:dyDescent="0.25">
      <c r="A463" s="24"/>
      <c r="B463" s="24"/>
      <c r="C463" s="24"/>
      <c r="D463" s="24"/>
      <c r="E463" s="24"/>
      <c r="F463" s="24"/>
      <c r="G463" s="24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 spans="1:26" ht="15.75" customHeight="1" x14ac:dyDescent="0.25">
      <c r="A464" s="24"/>
      <c r="B464" s="24"/>
      <c r="C464" s="24"/>
      <c r="D464" s="24"/>
      <c r="E464" s="24"/>
      <c r="F464" s="24"/>
      <c r="G464" s="24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 spans="1:26" ht="15.75" customHeight="1" x14ac:dyDescent="0.25">
      <c r="A465" s="24"/>
      <c r="B465" s="24"/>
      <c r="C465" s="24"/>
      <c r="D465" s="24"/>
      <c r="E465" s="24"/>
      <c r="F465" s="24"/>
      <c r="G465" s="24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 spans="1:26" ht="15.75" customHeight="1" x14ac:dyDescent="0.25">
      <c r="A466" s="24"/>
      <c r="B466" s="24"/>
      <c r="C466" s="24"/>
      <c r="D466" s="24"/>
      <c r="E466" s="24"/>
      <c r="F466" s="24"/>
      <c r="G466" s="24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 spans="1:26" ht="15.75" customHeight="1" x14ac:dyDescent="0.25">
      <c r="A467" s="24"/>
      <c r="B467" s="24"/>
      <c r="C467" s="24"/>
      <c r="D467" s="24"/>
      <c r="E467" s="24"/>
      <c r="F467" s="24"/>
      <c r="G467" s="24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 spans="1:26" ht="15.75" customHeight="1" x14ac:dyDescent="0.25">
      <c r="A468" s="24"/>
      <c r="B468" s="24"/>
      <c r="C468" s="24"/>
      <c r="D468" s="24"/>
      <c r="E468" s="24"/>
      <c r="F468" s="24"/>
      <c r="G468" s="24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 spans="1:26" ht="15.75" customHeight="1" x14ac:dyDescent="0.25">
      <c r="A469" s="24"/>
      <c r="B469" s="24"/>
      <c r="C469" s="24"/>
      <c r="D469" s="24"/>
      <c r="E469" s="24"/>
      <c r="F469" s="24"/>
      <c r="G469" s="24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 spans="1:26" ht="15.75" customHeight="1" x14ac:dyDescent="0.25">
      <c r="A470" s="24"/>
      <c r="B470" s="24"/>
      <c r="C470" s="24"/>
      <c r="D470" s="24"/>
      <c r="E470" s="24"/>
      <c r="F470" s="24"/>
      <c r="G470" s="24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 spans="1:26" ht="15.75" customHeight="1" x14ac:dyDescent="0.25">
      <c r="A471" s="24"/>
      <c r="B471" s="24"/>
      <c r="C471" s="24"/>
      <c r="D471" s="24"/>
      <c r="E471" s="24"/>
      <c r="F471" s="24"/>
      <c r="G471" s="24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 spans="1:26" ht="15.75" customHeight="1" x14ac:dyDescent="0.25">
      <c r="A472" s="24"/>
      <c r="B472" s="24"/>
      <c r="C472" s="24"/>
      <c r="D472" s="24"/>
      <c r="E472" s="24"/>
      <c r="F472" s="24"/>
      <c r="G472" s="24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 spans="1:26" ht="15.75" customHeight="1" x14ac:dyDescent="0.25">
      <c r="A473" s="24"/>
      <c r="B473" s="24"/>
      <c r="C473" s="24"/>
      <c r="D473" s="24"/>
      <c r="E473" s="24"/>
      <c r="F473" s="24"/>
      <c r="G473" s="24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 spans="1:26" ht="15.75" customHeight="1" x14ac:dyDescent="0.25">
      <c r="A474" s="24"/>
      <c r="B474" s="24"/>
      <c r="C474" s="24"/>
      <c r="D474" s="24"/>
      <c r="E474" s="24"/>
      <c r="F474" s="24"/>
      <c r="G474" s="24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 spans="1:26" ht="15.75" customHeight="1" x14ac:dyDescent="0.25">
      <c r="A475" s="24"/>
      <c r="B475" s="24"/>
      <c r="C475" s="24"/>
      <c r="D475" s="24"/>
      <c r="E475" s="24"/>
      <c r="F475" s="24"/>
      <c r="G475" s="24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 spans="1:26" ht="15.75" customHeight="1" x14ac:dyDescent="0.25">
      <c r="A476" s="24"/>
      <c r="B476" s="24"/>
      <c r="C476" s="24"/>
      <c r="D476" s="24"/>
      <c r="E476" s="24"/>
      <c r="F476" s="24"/>
      <c r="G476" s="24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 spans="1:26" ht="15.75" customHeight="1" x14ac:dyDescent="0.25">
      <c r="A477" s="24"/>
      <c r="B477" s="24"/>
      <c r="C477" s="24"/>
      <c r="D477" s="24"/>
      <c r="E477" s="24"/>
      <c r="F477" s="24"/>
      <c r="G477" s="24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 spans="1:26" ht="15.75" customHeight="1" x14ac:dyDescent="0.25">
      <c r="A478" s="24"/>
      <c r="B478" s="24"/>
      <c r="C478" s="24"/>
      <c r="D478" s="24"/>
      <c r="E478" s="24"/>
      <c r="F478" s="24"/>
      <c r="G478" s="24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 spans="1:26" ht="15.75" customHeight="1" x14ac:dyDescent="0.25">
      <c r="A479" s="24"/>
      <c r="B479" s="24"/>
      <c r="C479" s="24"/>
      <c r="D479" s="24"/>
      <c r="E479" s="24"/>
      <c r="F479" s="24"/>
      <c r="G479" s="24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 spans="1:26" ht="15.75" customHeight="1" x14ac:dyDescent="0.25">
      <c r="A480" s="24"/>
      <c r="B480" s="24"/>
      <c r="C480" s="24"/>
      <c r="D480" s="24"/>
      <c r="E480" s="24"/>
      <c r="F480" s="24"/>
      <c r="G480" s="24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 spans="1:26" ht="15.75" customHeight="1" x14ac:dyDescent="0.25">
      <c r="A481" s="24"/>
      <c r="B481" s="24"/>
      <c r="C481" s="24"/>
      <c r="D481" s="24"/>
      <c r="E481" s="24"/>
      <c r="F481" s="24"/>
      <c r="G481" s="24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 spans="1:26" ht="15.75" customHeight="1" x14ac:dyDescent="0.25">
      <c r="A482" s="24"/>
      <c r="B482" s="24"/>
      <c r="C482" s="24"/>
      <c r="D482" s="24"/>
      <c r="E482" s="24"/>
      <c r="F482" s="24"/>
      <c r="G482" s="24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 spans="1:26" ht="15.75" customHeight="1" x14ac:dyDescent="0.25">
      <c r="A483" s="24"/>
      <c r="B483" s="24"/>
      <c r="C483" s="24"/>
      <c r="D483" s="24"/>
      <c r="E483" s="24"/>
      <c r="F483" s="24"/>
      <c r="G483" s="24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 spans="1:26" ht="15.75" customHeight="1" x14ac:dyDescent="0.25">
      <c r="A484" s="24"/>
      <c r="B484" s="24"/>
      <c r="C484" s="24"/>
      <c r="D484" s="24"/>
      <c r="E484" s="24"/>
      <c r="F484" s="24"/>
      <c r="G484" s="24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 spans="1:26" ht="15.75" customHeight="1" x14ac:dyDescent="0.25">
      <c r="A485" s="24"/>
      <c r="B485" s="24"/>
      <c r="C485" s="24"/>
      <c r="D485" s="24"/>
      <c r="E485" s="24"/>
      <c r="F485" s="24"/>
      <c r="G485" s="24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 spans="1:26" ht="15.75" customHeight="1" x14ac:dyDescent="0.25">
      <c r="A486" s="24"/>
      <c r="B486" s="24"/>
      <c r="C486" s="24"/>
      <c r="D486" s="24"/>
      <c r="E486" s="24"/>
      <c r="F486" s="24"/>
      <c r="G486" s="24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 spans="1:26" ht="15.75" customHeight="1" x14ac:dyDescent="0.25">
      <c r="A487" s="24"/>
      <c r="B487" s="24"/>
      <c r="C487" s="24"/>
      <c r="D487" s="24"/>
      <c r="E487" s="24"/>
      <c r="F487" s="24"/>
      <c r="G487" s="24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 spans="1:26" ht="15.75" customHeight="1" x14ac:dyDescent="0.25">
      <c r="A488" s="24"/>
      <c r="B488" s="24"/>
      <c r="C488" s="24"/>
      <c r="D488" s="24"/>
      <c r="E488" s="24"/>
      <c r="F488" s="24"/>
      <c r="G488" s="24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 spans="1:26" ht="15.75" customHeight="1" x14ac:dyDescent="0.25">
      <c r="A489" s="24"/>
      <c r="B489" s="24"/>
      <c r="C489" s="24"/>
      <c r="D489" s="24"/>
      <c r="E489" s="24"/>
      <c r="F489" s="24"/>
      <c r="G489" s="24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 spans="1:26" ht="15.75" customHeight="1" x14ac:dyDescent="0.25">
      <c r="A490" s="24"/>
      <c r="B490" s="24"/>
      <c r="C490" s="24"/>
      <c r="D490" s="24"/>
      <c r="E490" s="24"/>
      <c r="F490" s="24"/>
      <c r="G490" s="24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 spans="1:26" ht="15.75" customHeight="1" x14ac:dyDescent="0.25">
      <c r="A491" s="24"/>
      <c r="B491" s="24"/>
      <c r="C491" s="24"/>
      <c r="D491" s="24"/>
      <c r="E491" s="24"/>
      <c r="F491" s="24"/>
      <c r="G491" s="24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 spans="1:26" ht="15.75" customHeight="1" x14ac:dyDescent="0.25">
      <c r="A492" s="24"/>
      <c r="B492" s="24"/>
      <c r="C492" s="24"/>
      <c r="D492" s="24"/>
      <c r="E492" s="24"/>
      <c r="F492" s="24"/>
      <c r="G492" s="24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 spans="1:26" ht="15.75" customHeight="1" x14ac:dyDescent="0.25">
      <c r="A493" s="24"/>
      <c r="B493" s="24"/>
      <c r="C493" s="24"/>
      <c r="D493" s="24"/>
      <c r="E493" s="24"/>
      <c r="F493" s="24"/>
      <c r="G493" s="24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 spans="1:26" ht="15.75" customHeight="1" x14ac:dyDescent="0.25">
      <c r="A494" s="24"/>
      <c r="B494" s="24"/>
      <c r="C494" s="24"/>
      <c r="D494" s="24"/>
      <c r="E494" s="24"/>
      <c r="F494" s="24"/>
      <c r="G494" s="24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 spans="1:26" ht="15.75" customHeight="1" x14ac:dyDescent="0.25">
      <c r="A495" s="24"/>
      <c r="B495" s="24"/>
      <c r="C495" s="24"/>
      <c r="D495" s="24"/>
      <c r="E495" s="24"/>
      <c r="F495" s="24"/>
      <c r="G495" s="24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 spans="1:26" ht="15.75" customHeight="1" x14ac:dyDescent="0.25">
      <c r="A496" s="24"/>
      <c r="B496" s="24"/>
      <c r="C496" s="24"/>
      <c r="D496" s="24"/>
      <c r="E496" s="24"/>
      <c r="F496" s="24"/>
      <c r="G496" s="24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 spans="1:26" ht="15.75" customHeight="1" x14ac:dyDescent="0.25">
      <c r="A497" s="24"/>
      <c r="B497" s="24"/>
      <c r="C497" s="24"/>
      <c r="D497" s="24"/>
      <c r="E497" s="24"/>
      <c r="F497" s="24"/>
      <c r="G497" s="24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 spans="1:26" ht="15.75" customHeight="1" x14ac:dyDescent="0.25">
      <c r="A498" s="24"/>
      <c r="B498" s="24"/>
      <c r="C498" s="24"/>
      <c r="D498" s="24"/>
      <c r="E498" s="24"/>
      <c r="F498" s="24"/>
      <c r="G498" s="24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 spans="1:26" ht="15.75" customHeight="1" x14ac:dyDescent="0.25">
      <c r="A499" s="24"/>
      <c r="B499" s="24"/>
      <c r="C499" s="24"/>
      <c r="D499" s="24"/>
      <c r="E499" s="24"/>
      <c r="F499" s="24"/>
      <c r="G499" s="24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 spans="1:26" ht="15.75" customHeight="1" x14ac:dyDescent="0.25">
      <c r="A500" s="24"/>
      <c r="B500" s="24"/>
      <c r="C500" s="24"/>
      <c r="D500" s="24"/>
      <c r="E500" s="24"/>
      <c r="F500" s="24"/>
      <c r="G500" s="24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 spans="1:26" ht="15.75" customHeight="1" x14ac:dyDescent="0.25">
      <c r="A501" s="24"/>
      <c r="B501" s="24"/>
      <c r="C501" s="24"/>
      <c r="D501" s="24"/>
      <c r="E501" s="24"/>
      <c r="F501" s="24"/>
      <c r="G501" s="24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 spans="1:26" ht="15.75" customHeight="1" x14ac:dyDescent="0.25">
      <c r="A502" s="24"/>
      <c r="B502" s="24"/>
      <c r="C502" s="24"/>
      <c r="D502" s="24"/>
      <c r="E502" s="24"/>
      <c r="F502" s="24"/>
      <c r="G502" s="24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 spans="1:26" ht="15.75" customHeight="1" x14ac:dyDescent="0.25">
      <c r="A503" s="24"/>
      <c r="B503" s="24"/>
      <c r="C503" s="24"/>
      <c r="D503" s="24"/>
      <c r="E503" s="24"/>
      <c r="F503" s="24"/>
      <c r="G503" s="24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 spans="1:26" ht="15.75" customHeight="1" x14ac:dyDescent="0.25">
      <c r="A504" s="24"/>
      <c r="B504" s="24"/>
      <c r="C504" s="24"/>
      <c r="D504" s="24"/>
      <c r="E504" s="24"/>
      <c r="F504" s="24"/>
      <c r="G504" s="24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 spans="1:26" ht="15.75" customHeight="1" x14ac:dyDescent="0.25">
      <c r="A505" s="24"/>
      <c r="B505" s="24"/>
      <c r="C505" s="24"/>
      <c r="D505" s="24"/>
      <c r="E505" s="24"/>
      <c r="F505" s="24"/>
      <c r="G505" s="24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 spans="1:26" ht="15.75" customHeight="1" x14ac:dyDescent="0.25">
      <c r="A506" s="24"/>
      <c r="B506" s="24"/>
      <c r="C506" s="24"/>
      <c r="D506" s="24"/>
      <c r="E506" s="24"/>
      <c r="F506" s="24"/>
      <c r="G506" s="24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 spans="1:26" ht="15.75" customHeight="1" x14ac:dyDescent="0.25">
      <c r="A507" s="24"/>
      <c r="B507" s="24"/>
      <c r="C507" s="24"/>
      <c r="D507" s="24"/>
      <c r="E507" s="24"/>
      <c r="F507" s="24"/>
      <c r="G507" s="24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 spans="1:26" ht="15.75" customHeight="1" x14ac:dyDescent="0.25">
      <c r="A508" s="24"/>
      <c r="B508" s="24"/>
      <c r="C508" s="24"/>
      <c r="D508" s="24"/>
      <c r="E508" s="24"/>
      <c r="F508" s="24"/>
      <c r="G508" s="24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 spans="1:26" ht="15.75" customHeight="1" x14ac:dyDescent="0.25">
      <c r="A509" s="24"/>
      <c r="B509" s="24"/>
      <c r="C509" s="24"/>
      <c r="D509" s="24"/>
      <c r="E509" s="24"/>
      <c r="F509" s="24"/>
      <c r="G509" s="24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 spans="1:26" ht="15.75" customHeight="1" x14ac:dyDescent="0.25">
      <c r="A510" s="24"/>
      <c r="B510" s="24"/>
      <c r="C510" s="24"/>
      <c r="D510" s="24"/>
      <c r="E510" s="24"/>
      <c r="F510" s="24"/>
      <c r="G510" s="24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 spans="1:26" ht="15.75" customHeight="1" x14ac:dyDescent="0.25">
      <c r="A511" s="24"/>
      <c r="B511" s="24"/>
      <c r="C511" s="24"/>
      <c r="D511" s="24"/>
      <c r="E511" s="24"/>
      <c r="F511" s="24"/>
      <c r="G511" s="24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 spans="1:26" ht="15.75" customHeight="1" x14ac:dyDescent="0.25">
      <c r="A512" s="24"/>
      <c r="B512" s="24"/>
      <c r="C512" s="24"/>
      <c r="D512" s="24"/>
      <c r="E512" s="24"/>
      <c r="F512" s="24"/>
      <c r="G512" s="24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 spans="1:26" ht="15.75" customHeight="1" x14ac:dyDescent="0.25">
      <c r="A513" s="24"/>
      <c r="B513" s="24"/>
      <c r="C513" s="24"/>
      <c r="D513" s="24"/>
      <c r="E513" s="24"/>
      <c r="F513" s="24"/>
      <c r="G513" s="24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 spans="1:26" ht="15.75" customHeight="1" x14ac:dyDescent="0.25">
      <c r="A514" s="24"/>
      <c r="B514" s="24"/>
      <c r="C514" s="24"/>
      <c r="D514" s="24"/>
      <c r="E514" s="24"/>
      <c r="F514" s="24"/>
      <c r="G514" s="24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 spans="1:26" ht="15.75" customHeight="1" x14ac:dyDescent="0.25">
      <c r="A515" s="24"/>
      <c r="B515" s="24"/>
      <c r="C515" s="24"/>
      <c r="D515" s="24"/>
      <c r="E515" s="24"/>
      <c r="F515" s="24"/>
      <c r="G515" s="24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 spans="1:26" ht="15.75" customHeight="1" x14ac:dyDescent="0.25">
      <c r="A516" s="24"/>
      <c r="B516" s="24"/>
      <c r="C516" s="24"/>
      <c r="D516" s="24"/>
      <c r="E516" s="24"/>
      <c r="F516" s="24"/>
      <c r="G516" s="24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 spans="1:26" ht="15.75" customHeight="1" x14ac:dyDescent="0.25">
      <c r="A517" s="24"/>
      <c r="B517" s="24"/>
      <c r="C517" s="24"/>
      <c r="D517" s="24"/>
      <c r="E517" s="24"/>
      <c r="F517" s="24"/>
      <c r="G517" s="24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 spans="1:26" ht="15.75" customHeight="1" x14ac:dyDescent="0.25">
      <c r="A518" s="24"/>
      <c r="B518" s="24"/>
      <c r="C518" s="24"/>
      <c r="D518" s="24"/>
      <c r="E518" s="24"/>
      <c r="F518" s="24"/>
      <c r="G518" s="24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 spans="1:26" ht="15.75" customHeight="1" x14ac:dyDescent="0.25">
      <c r="A519" s="24"/>
      <c r="B519" s="24"/>
      <c r="C519" s="24"/>
      <c r="D519" s="24"/>
      <c r="E519" s="24"/>
      <c r="F519" s="24"/>
      <c r="G519" s="24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 spans="1:26" ht="15.75" customHeight="1" x14ac:dyDescent="0.25">
      <c r="A520" s="24"/>
      <c r="B520" s="24"/>
      <c r="C520" s="24"/>
      <c r="D520" s="24"/>
      <c r="E520" s="24"/>
      <c r="F520" s="24"/>
      <c r="G520" s="24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 spans="1:26" ht="15.75" customHeight="1" x14ac:dyDescent="0.25">
      <c r="A521" s="24"/>
      <c r="B521" s="24"/>
      <c r="C521" s="24"/>
      <c r="D521" s="24"/>
      <c r="E521" s="24"/>
      <c r="F521" s="24"/>
      <c r="G521" s="24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 spans="1:26" ht="15.75" customHeight="1" x14ac:dyDescent="0.25">
      <c r="A522" s="24"/>
      <c r="B522" s="24"/>
      <c r="C522" s="24"/>
      <c r="D522" s="24"/>
      <c r="E522" s="24"/>
      <c r="F522" s="24"/>
      <c r="G522" s="24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 spans="1:26" ht="15.75" customHeight="1" x14ac:dyDescent="0.25">
      <c r="A523" s="24"/>
      <c r="B523" s="24"/>
      <c r="C523" s="24"/>
      <c r="D523" s="24"/>
      <c r="E523" s="24"/>
      <c r="F523" s="24"/>
      <c r="G523" s="24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 spans="1:26" ht="15.75" customHeight="1" x14ac:dyDescent="0.25">
      <c r="A524" s="24"/>
      <c r="B524" s="24"/>
      <c r="C524" s="24"/>
      <c r="D524" s="24"/>
      <c r="E524" s="24"/>
      <c r="F524" s="24"/>
      <c r="G524" s="24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 spans="1:26" ht="15.75" customHeight="1" x14ac:dyDescent="0.25">
      <c r="A525" s="24"/>
      <c r="B525" s="24"/>
      <c r="C525" s="24"/>
      <c r="D525" s="24"/>
      <c r="E525" s="24"/>
      <c r="F525" s="24"/>
      <c r="G525" s="24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 spans="1:26" ht="15.75" customHeight="1" x14ac:dyDescent="0.25">
      <c r="A526" s="24"/>
      <c r="B526" s="24"/>
      <c r="C526" s="24"/>
      <c r="D526" s="24"/>
      <c r="E526" s="24"/>
      <c r="F526" s="24"/>
      <c r="G526" s="24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 spans="1:26" ht="15.75" customHeight="1" x14ac:dyDescent="0.25">
      <c r="A527" s="24"/>
      <c r="B527" s="24"/>
      <c r="C527" s="24"/>
      <c r="D527" s="24"/>
      <c r="E527" s="24"/>
      <c r="F527" s="24"/>
      <c r="G527" s="24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 spans="1:26" ht="15.75" customHeight="1" x14ac:dyDescent="0.25">
      <c r="A528" s="24"/>
      <c r="B528" s="24"/>
      <c r="C528" s="24"/>
      <c r="D528" s="24"/>
      <c r="E528" s="24"/>
      <c r="F528" s="24"/>
      <c r="G528" s="24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 spans="1:26" ht="15.75" customHeight="1" x14ac:dyDescent="0.25">
      <c r="A529" s="24"/>
      <c r="B529" s="24"/>
      <c r="C529" s="24"/>
      <c r="D529" s="24"/>
      <c r="E529" s="24"/>
      <c r="F529" s="24"/>
      <c r="G529" s="24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 spans="1:26" ht="15.75" customHeight="1" x14ac:dyDescent="0.25">
      <c r="A530" s="24"/>
      <c r="B530" s="24"/>
      <c r="C530" s="24"/>
      <c r="D530" s="24"/>
      <c r="E530" s="24"/>
      <c r="F530" s="24"/>
      <c r="G530" s="24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 spans="1:26" ht="15.75" customHeight="1" x14ac:dyDescent="0.25">
      <c r="A531" s="24"/>
      <c r="B531" s="24"/>
      <c r="C531" s="24"/>
      <c r="D531" s="24"/>
      <c r="E531" s="24"/>
      <c r="F531" s="24"/>
      <c r="G531" s="24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 spans="1:26" ht="15.75" customHeight="1" x14ac:dyDescent="0.25">
      <c r="A532" s="24"/>
      <c r="B532" s="24"/>
      <c r="C532" s="24"/>
      <c r="D532" s="24"/>
      <c r="E532" s="24"/>
      <c r="F532" s="24"/>
      <c r="G532" s="24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 spans="1:26" ht="15.75" customHeight="1" x14ac:dyDescent="0.25">
      <c r="A533" s="24"/>
      <c r="B533" s="24"/>
      <c r="C533" s="24"/>
      <c r="D533" s="24"/>
      <c r="E533" s="24"/>
      <c r="F533" s="24"/>
      <c r="G533" s="24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 spans="1:26" ht="15.75" customHeight="1" x14ac:dyDescent="0.25">
      <c r="A534" s="24"/>
      <c r="B534" s="24"/>
      <c r="C534" s="24"/>
      <c r="D534" s="24"/>
      <c r="E534" s="24"/>
      <c r="F534" s="24"/>
      <c r="G534" s="24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 spans="1:26" ht="15.75" customHeight="1" x14ac:dyDescent="0.25">
      <c r="A535" s="24"/>
      <c r="B535" s="24"/>
      <c r="C535" s="24"/>
      <c r="D535" s="24"/>
      <c r="E535" s="24"/>
      <c r="F535" s="24"/>
      <c r="G535" s="24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 spans="1:26" ht="15.75" customHeight="1" x14ac:dyDescent="0.25">
      <c r="A536" s="24"/>
      <c r="B536" s="24"/>
      <c r="C536" s="24"/>
      <c r="D536" s="24"/>
      <c r="E536" s="24"/>
      <c r="F536" s="24"/>
      <c r="G536" s="24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 spans="1:26" ht="15.75" customHeight="1" x14ac:dyDescent="0.25">
      <c r="A537" s="24"/>
      <c r="B537" s="24"/>
      <c r="C537" s="24"/>
      <c r="D537" s="24"/>
      <c r="E537" s="24"/>
      <c r="F537" s="24"/>
      <c r="G537" s="24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 spans="1:26" ht="15.75" customHeight="1" x14ac:dyDescent="0.25">
      <c r="A538" s="24"/>
      <c r="B538" s="24"/>
      <c r="C538" s="24"/>
      <c r="D538" s="24"/>
      <c r="E538" s="24"/>
      <c r="F538" s="24"/>
      <c r="G538" s="24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 spans="1:26" ht="15.75" customHeight="1" x14ac:dyDescent="0.25">
      <c r="A539" s="24"/>
      <c r="B539" s="24"/>
      <c r="C539" s="24"/>
      <c r="D539" s="24"/>
      <c r="E539" s="24"/>
      <c r="F539" s="24"/>
      <c r="G539" s="24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 spans="1:26" ht="15.75" customHeight="1" x14ac:dyDescent="0.25">
      <c r="A540" s="24"/>
      <c r="B540" s="24"/>
      <c r="C540" s="24"/>
      <c r="D540" s="24"/>
      <c r="E540" s="24"/>
      <c r="F540" s="24"/>
      <c r="G540" s="24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 spans="1:26" ht="15.75" customHeight="1" x14ac:dyDescent="0.25">
      <c r="A541" s="24"/>
      <c r="B541" s="24"/>
      <c r="C541" s="24"/>
      <c r="D541" s="24"/>
      <c r="E541" s="24"/>
      <c r="F541" s="24"/>
      <c r="G541" s="24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 spans="1:26" ht="15.75" customHeight="1" x14ac:dyDescent="0.25">
      <c r="A542" s="24"/>
      <c r="B542" s="24"/>
      <c r="C542" s="24"/>
      <c r="D542" s="24"/>
      <c r="E542" s="24"/>
      <c r="F542" s="24"/>
      <c r="G542" s="24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 spans="1:26" ht="15.75" customHeight="1" x14ac:dyDescent="0.25">
      <c r="A543" s="24"/>
      <c r="B543" s="24"/>
      <c r="C543" s="24"/>
      <c r="D543" s="24"/>
      <c r="E543" s="24"/>
      <c r="F543" s="24"/>
      <c r="G543" s="24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 spans="1:26" ht="15.75" customHeight="1" x14ac:dyDescent="0.25">
      <c r="A544" s="24"/>
      <c r="B544" s="24"/>
      <c r="C544" s="24"/>
      <c r="D544" s="24"/>
      <c r="E544" s="24"/>
      <c r="F544" s="24"/>
      <c r="G544" s="24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 spans="1:26" ht="15.75" customHeight="1" x14ac:dyDescent="0.25">
      <c r="A545" s="24"/>
      <c r="B545" s="24"/>
      <c r="C545" s="24"/>
      <c r="D545" s="24"/>
      <c r="E545" s="24"/>
      <c r="F545" s="24"/>
      <c r="G545" s="24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 spans="1:26" ht="15.75" customHeight="1" x14ac:dyDescent="0.25">
      <c r="A546" s="24"/>
      <c r="B546" s="24"/>
      <c r="C546" s="24"/>
      <c r="D546" s="24"/>
      <c r="E546" s="24"/>
      <c r="F546" s="24"/>
      <c r="G546" s="24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 spans="1:26" ht="15.75" customHeight="1" x14ac:dyDescent="0.25">
      <c r="A547" s="24"/>
      <c r="B547" s="24"/>
      <c r="C547" s="24"/>
      <c r="D547" s="24"/>
      <c r="E547" s="24"/>
      <c r="F547" s="24"/>
      <c r="G547" s="24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 spans="1:26" ht="15.75" customHeight="1" x14ac:dyDescent="0.25">
      <c r="A548" s="24"/>
      <c r="B548" s="24"/>
      <c r="C548" s="24"/>
      <c r="D548" s="24"/>
      <c r="E548" s="24"/>
      <c r="F548" s="24"/>
      <c r="G548" s="24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 spans="1:26" ht="15.75" customHeight="1" x14ac:dyDescent="0.25">
      <c r="A549" s="24"/>
      <c r="B549" s="24"/>
      <c r="C549" s="24"/>
      <c r="D549" s="24"/>
      <c r="E549" s="24"/>
      <c r="F549" s="24"/>
      <c r="G549" s="24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 spans="1:26" ht="15.75" customHeight="1" x14ac:dyDescent="0.25">
      <c r="A550" s="24"/>
      <c r="B550" s="24"/>
      <c r="C550" s="24"/>
      <c r="D550" s="24"/>
      <c r="E550" s="24"/>
      <c r="F550" s="24"/>
      <c r="G550" s="24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 spans="1:26" ht="15.75" customHeight="1" x14ac:dyDescent="0.25">
      <c r="A551" s="24"/>
      <c r="B551" s="24"/>
      <c r="C551" s="24"/>
      <c r="D551" s="24"/>
      <c r="E551" s="24"/>
      <c r="F551" s="24"/>
      <c r="G551" s="24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 spans="1:26" ht="15.75" customHeight="1" x14ac:dyDescent="0.25">
      <c r="A552" s="24"/>
      <c r="B552" s="24"/>
      <c r="C552" s="24"/>
      <c r="D552" s="24"/>
      <c r="E552" s="24"/>
      <c r="F552" s="24"/>
      <c r="G552" s="24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 spans="1:26" ht="15.75" customHeight="1" x14ac:dyDescent="0.25">
      <c r="A553" s="24"/>
      <c r="B553" s="24"/>
      <c r="C553" s="24"/>
      <c r="D553" s="24"/>
      <c r="E553" s="24"/>
      <c r="F553" s="24"/>
      <c r="G553" s="24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 spans="1:26" ht="15.75" customHeight="1" x14ac:dyDescent="0.25">
      <c r="A554" s="24"/>
      <c r="B554" s="24"/>
      <c r="C554" s="24"/>
      <c r="D554" s="24"/>
      <c r="E554" s="24"/>
      <c r="F554" s="24"/>
      <c r="G554" s="24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 spans="1:26" ht="15.75" customHeight="1" x14ac:dyDescent="0.25">
      <c r="A555" s="24"/>
      <c r="B555" s="24"/>
      <c r="C555" s="24"/>
      <c r="D555" s="24"/>
      <c r="E555" s="24"/>
      <c r="F555" s="24"/>
      <c r="G555" s="24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 spans="1:26" ht="15.75" customHeight="1" x14ac:dyDescent="0.25">
      <c r="A556" s="24"/>
      <c r="B556" s="24"/>
      <c r="C556" s="24"/>
      <c r="D556" s="24"/>
      <c r="E556" s="24"/>
      <c r="F556" s="24"/>
      <c r="G556" s="24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 spans="1:26" ht="15.75" customHeight="1" x14ac:dyDescent="0.25">
      <c r="A557" s="24"/>
      <c r="B557" s="24"/>
      <c r="C557" s="24"/>
      <c r="D557" s="24"/>
      <c r="E557" s="24"/>
      <c r="F557" s="24"/>
      <c r="G557" s="24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 spans="1:26" ht="15.75" customHeight="1" x14ac:dyDescent="0.25">
      <c r="A558" s="24"/>
      <c r="B558" s="24"/>
      <c r="C558" s="24"/>
      <c r="D558" s="24"/>
      <c r="E558" s="24"/>
      <c r="F558" s="24"/>
      <c r="G558" s="24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 spans="1:26" ht="15.75" customHeight="1" x14ac:dyDescent="0.25">
      <c r="A559" s="24"/>
      <c r="B559" s="24"/>
      <c r="C559" s="24"/>
      <c r="D559" s="24"/>
      <c r="E559" s="24"/>
      <c r="F559" s="24"/>
      <c r="G559" s="24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 spans="1:26" ht="15.75" customHeight="1" x14ac:dyDescent="0.25">
      <c r="A560" s="24"/>
      <c r="B560" s="24"/>
      <c r="C560" s="24"/>
      <c r="D560" s="24"/>
      <c r="E560" s="24"/>
      <c r="F560" s="24"/>
      <c r="G560" s="24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 spans="1:26" ht="15.75" customHeight="1" x14ac:dyDescent="0.25">
      <c r="A561" s="24"/>
      <c r="B561" s="24"/>
      <c r="C561" s="24"/>
      <c r="D561" s="24"/>
      <c r="E561" s="24"/>
      <c r="F561" s="24"/>
      <c r="G561" s="24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 spans="1:26" ht="15.75" customHeight="1" x14ac:dyDescent="0.25">
      <c r="A562" s="24"/>
      <c r="B562" s="24"/>
      <c r="C562" s="24"/>
      <c r="D562" s="24"/>
      <c r="E562" s="24"/>
      <c r="F562" s="24"/>
      <c r="G562" s="24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 spans="1:26" ht="15.75" customHeight="1" x14ac:dyDescent="0.25">
      <c r="A563" s="24"/>
      <c r="B563" s="24"/>
      <c r="C563" s="24"/>
      <c r="D563" s="24"/>
      <c r="E563" s="24"/>
      <c r="F563" s="24"/>
      <c r="G563" s="24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 spans="1:26" ht="15.75" customHeight="1" x14ac:dyDescent="0.25">
      <c r="A564" s="24"/>
      <c r="B564" s="24"/>
      <c r="C564" s="24"/>
      <c r="D564" s="24"/>
      <c r="E564" s="24"/>
      <c r="F564" s="24"/>
      <c r="G564" s="24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 spans="1:26" ht="15.75" customHeight="1" x14ac:dyDescent="0.25">
      <c r="A565" s="24"/>
      <c r="B565" s="24"/>
      <c r="C565" s="24"/>
      <c r="D565" s="24"/>
      <c r="E565" s="24"/>
      <c r="F565" s="24"/>
      <c r="G565" s="24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 spans="1:26" ht="15.75" customHeight="1" x14ac:dyDescent="0.25">
      <c r="A566" s="24"/>
      <c r="B566" s="24"/>
      <c r="C566" s="24"/>
      <c r="D566" s="24"/>
      <c r="E566" s="24"/>
      <c r="F566" s="24"/>
      <c r="G566" s="24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 spans="1:26" ht="15.75" customHeight="1" x14ac:dyDescent="0.25">
      <c r="A567" s="24"/>
      <c r="B567" s="24"/>
      <c r="C567" s="24"/>
      <c r="D567" s="24"/>
      <c r="E567" s="24"/>
      <c r="F567" s="24"/>
      <c r="G567" s="24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 spans="1:26" ht="15.75" customHeight="1" x14ac:dyDescent="0.25">
      <c r="A568" s="24"/>
      <c r="B568" s="24"/>
      <c r="C568" s="24"/>
      <c r="D568" s="24"/>
      <c r="E568" s="24"/>
      <c r="F568" s="24"/>
      <c r="G568" s="24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 spans="1:26" ht="15.75" customHeight="1" x14ac:dyDescent="0.25">
      <c r="A569" s="24"/>
      <c r="B569" s="24"/>
      <c r="C569" s="24"/>
      <c r="D569" s="24"/>
      <c r="E569" s="24"/>
      <c r="F569" s="24"/>
      <c r="G569" s="24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 spans="1:26" ht="15.75" customHeight="1" x14ac:dyDescent="0.25">
      <c r="A570" s="24"/>
      <c r="B570" s="24"/>
      <c r="C570" s="24"/>
      <c r="D570" s="24"/>
      <c r="E570" s="24"/>
      <c r="F570" s="24"/>
      <c r="G570" s="24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 spans="1:26" ht="15.75" customHeight="1" x14ac:dyDescent="0.25">
      <c r="A571" s="24"/>
      <c r="B571" s="24"/>
      <c r="C571" s="24"/>
      <c r="D571" s="24"/>
      <c r="E571" s="24"/>
      <c r="F571" s="24"/>
      <c r="G571" s="24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 spans="1:26" ht="15.75" customHeight="1" x14ac:dyDescent="0.25">
      <c r="A572" s="24"/>
      <c r="B572" s="24"/>
      <c r="C572" s="24"/>
      <c r="D572" s="24"/>
      <c r="E572" s="24"/>
      <c r="F572" s="24"/>
      <c r="G572" s="24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 spans="1:26" ht="15.75" customHeight="1" x14ac:dyDescent="0.25">
      <c r="A573" s="24"/>
      <c r="B573" s="24"/>
      <c r="C573" s="24"/>
      <c r="D573" s="24"/>
      <c r="E573" s="24"/>
      <c r="F573" s="24"/>
      <c r="G573" s="24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 spans="1:26" ht="15.75" customHeight="1" x14ac:dyDescent="0.25">
      <c r="A574" s="24"/>
      <c r="B574" s="24"/>
      <c r="C574" s="24"/>
      <c r="D574" s="24"/>
      <c r="E574" s="24"/>
      <c r="F574" s="24"/>
      <c r="G574" s="24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 spans="1:26" ht="15.75" customHeight="1" x14ac:dyDescent="0.25">
      <c r="A575" s="24"/>
      <c r="B575" s="24"/>
      <c r="C575" s="24"/>
      <c r="D575" s="24"/>
      <c r="E575" s="24"/>
      <c r="F575" s="24"/>
      <c r="G575" s="24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 spans="1:26" ht="15.75" customHeight="1" x14ac:dyDescent="0.25">
      <c r="A576" s="24"/>
      <c r="B576" s="24"/>
      <c r="C576" s="24"/>
      <c r="D576" s="24"/>
      <c r="E576" s="24"/>
      <c r="F576" s="24"/>
      <c r="G576" s="24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 spans="1:26" ht="15.75" customHeight="1" x14ac:dyDescent="0.25">
      <c r="A577" s="24"/>
      <c r="B577" s="24"/>
      <c r="C577" s="24"/>
      <c r="D577" s="24"/>
      <c r="E577" s="24"/>
      <c r="F577" s="24"/>
      <c r="G577" s="24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 spans="1:26" ht="15.75" customHeight="1" x14ac:dyDescent="0.25">
      <c r="A578" s="24"/>
      <c r="B578" s="24"/>
      <c r="C578" s="24"/>
      <c r="D578" s="24"/>
      <c r="E578" s="24"/>
      <c r="F578" s="24"/>
      <c r="G578" s="24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 spans="1:26" ht="15.75" customHeight="1" x14ac:dyDescent="0.25">
      <c r="A579" s="24"/>
      <c r="B579" s="24"/>
      <c r="C579" s="24"/>
      <c r="D579" s="24"/>
      <c r="E579" s="24"/>
      <c r="F579" s="24"/>
      <c r="G579" s="24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 spans="1:26" ht="15.75" customHeight="1" x14ac:dyDescent="0.25">
      <c r="A580" s="24"/>
      <c r="B580" s="24"/>
      <c r="C580" s="24"/>
      <c r="D580" s="24"/>
      <c r="E580" s="24"/>
      <c r="F580" s="24"/>
      <c r="G580" s="24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 spans="1:26" ht="15.75" customHeight="1" x14ac:dyDescent="0.25">
      <c r="A581" s="24"/>
      <c r="B581" s="24"/>
      <c r="C581" s="24"/>
      <c r="D581" s="24"/>
      <c r="E581" s="24"/>
      <c r="F581" s="24"/>
      <c r="G581" s="24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 spans="1:26" ht="15.75" customHeight="1" x14ac:dyDescent="0.25">
      <c r="A582" s="24"/>
      <c r="B582" s="24"/>
      <c r="C582" s="24"/>
      <c r="D582" s="24"/>
      <c r="E582" s="24"/>
      <c r="F582" s="24"/>
      <c r="G582" s="24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 spans="1:26" ht="15.75" customHeight="1" x14ac:dyDescent="0.25">
      <c r="A583" s="24"/>
      <c r="B583" s="24"/>
      <c r="C583" s="24"/>
      <c r="D583" s="24"/>
      <c r="E583" s="24"/>
      <c r="F583" s="24"/>
      <c r="G583" s="24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 spans="1:26" ht="15.75" customHeight="1" x14ac:dyDescent="0.25">
      <c r="A584" s="24"/>
      <c r="B584" s="24"/>
      <c r="C584" s="24"/>
      <c r="D584" s="24"/>
      <c r="E584" s="24"/>
      <c r="F584" s="24"/>
      <c r="G584" s="24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 spans="1:26" ht="15.75" customHeight="1" x14ac:dyDescent="0.25">
      <c r="A585" s="24"/>
      <c r="B585" s="24"/>
      <c r="C585" s="24"/>
      <c r="D585" s="24"/>
      <c r="E585" s="24"/>
      <c r="F585" s="24"/>
      <c r="G585" s="24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 spans="1:26" ht="15.75" customHeight="1" x14ac:dyDescent="0.25">
      <c r="A586" s="24"/>
      <c r="B586" s="24"/>
      <c r="C586" s="24"/>
      <c r="D586" s="24"/>
      <c r="E586" s="24"/>
      <c r="F586" s="24"/>
      <c r="G586" s="24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 spans="1:26" ht="15.75" customHeight="1" x14ac:dyDescent="0.25">
      <c r="A587" s="24"/>
      <c r="B587" s="24"/>
      <c r="C587" s="24"/>
      <c r="D587" s="24"/>
      <c r="E587" s="24"/>
      <c r="F587" s="24"/>
      <c r="G587" s="24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 spans="1:26" ht="15.75" customHeight="1" x14ac:dyDescent="0.25">
      <c r="A588" s="24"/>
      <c r="B588" s="24"/>
      <c r="C588" s="24"/>
      <c r="D588" s="24"/>
      <c r="E588" s="24"/>
      <c r="F588" s="24"/>
      <c r="G588" s="24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 spans="1:26" ht="15.75" customHeight="1" x14ac:dyDescent="0.25">
      <c r="A589" s="24"/>
      <c r="B589" s="24"/>
      <c r="C589" s="24"/>
      <c r="D589" s="24"/>
      <c r="E589" s="24"/>
      <c r="F589" s="24"/>
      <c r="G589" s="24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 spans="1:26" ht="15.75" customHeight="1" x14ac:dyDescent="0.25">
      <c r="A590" s="24"/>
      <c r="B590" s="24"/>
      <c r="C590" s="24"/>
      <c r="D590" s="24"/>
      <c r="E590" s="24"/>
      <c r="F590" s="24"/>
      <c r="G590" s="24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 spans="1:26" ht="15.75" customHeight="1" x14ac:dyDescent="0.25">
      <c r="A591" s="24"/>
      <c r="B591" s="24"/>
      <c r="C591" s="24"/>
      <c r="D591" s="24"/>
      <c r="E591" s="24"/>
      <c r="F591" s="24"/>
      <c r="G591" s="24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 spans="1:26" ht="15.75" customHeight="1" x14ac:dyDescent="0.25">
      <c r="A592" s="24"/>
      <c r="B592" s="24"/>
      <c r="C592" s="24"/>
      <c r="D592" s="24"/>
      <c r="E592" s="24"/>
      <c r="F592" s="24"/>
      <c r="G592" s="24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 spans="1:26" ht="15.75" customHeight="1" x14ac:dyDescent="0.25">
      <c r="A593" s="24"/>
      <c r="B593" s="24"/>
      <c r="C593" s="24"/>
      <c r="D593" s="24"/>
      <c r="E593" s="24"/>
      <c r="F593" s="24"/>
      <c r="G593" s="24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 spans="1:26" ht="15.75" customHeight="1" x14ac:dyDescent="0.25">
      <c r="A594" s="24"/>
      <c r="B594" s="24"/>
      <c r="C594" s="24"/>
      <c r="D594" s="24"/>
      <c r="E594" s="24"/>
      <c r="F594" s="24"/>
      <c r="G594" s="24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 spans="1:26" ht="15.75" customHeight="1" x14ac:dyDescent="0.25">
      <c r="A595" s="24"/>
      <c r="B595" s="24"/>
      <c r="C595" s="24"/>
      <c r="D595" s="24"/>
      <c r="E595" s="24"/>
      <c r="F595" s="24"/>
      <c r="G595" s="24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 spans="1:26" ht="15.75" customHeight="1" x14ac:dyDescent="0.25">
      <c r="A596" s="24"/>
      <c r="B596" s="24"/>
      <c r="C596" s="24"/>
      <c r="D596" s="24"/>
      <c r="E596" s="24"/>
      <c r="F596" s="24"/>
      <c r="G596" s="24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 spans="1:26" ht="15.75" customHeight="1" x14ac:dyDescent="0.25">
      <c r="A597" s="24"/>
      <c r="B597" s="24"/>
      <c r="C597" s="24"/>
      <c r="D597" s="24"/>
      <c r="E597" s="24"/>
      <c r="F597" s="24"/>
      <c r="G597" s="24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 spans="1:26" ht="15.75" customHeight="1" x14ac:dyDescent="0.25">
      <c r="A598" s="24"/>
      <c r="B598" s="24"/>
      <c r="C598" s="24"/>
      <c r="D598" s="24"/>
      <c r="E598" s="24"/>
      <c r="F598" s="24"/>
      <c r="G598" s="24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 spans="1:26" ht="15.75" customHeight="1" x14ac:dyDescent="0.25">
      <c r="A599" s="24"/>
      <c r="B599" s="24"/>
      <c r="C599" s="24"/>
      <c r="D599" s="24"/>
      <c r="E599" s="24"/>
      <c r="F599" s="24"/>
      <c r="G599" s="24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 spans="1:26" ht="15.75" customHeight="1" x14ac:dyDescent="0.25">
      <c r="A600" s="24"/>
      <c r="B600" s="24"/>
      <c r="C600" s="24"/>
      <c r="D600" s="24"/>
      <c r="E600" s="24"/>
      <c r="F600" s="24"/>
      <c r="G600" s="24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 spans="1:26" ht="15.75" customHeight="1" x14ac:dyDescent="0.25">
      <c r="A601" s="24"/>
      <c r="B601" s="24"/>
      <c r="C601" s="24"/>
      <c r="D601" s="24"/>
      <c r="E601" s="24"/>
      <c r="F601" s="24"/>
      <c r="G601" s="24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 spans="1:26" ht="15.75" customHeight="1" x14ac:dyDescent="0.25">
      <c r="A602" s="24"/>
      <c r="B602" s="24"/>
      <c r="C602" s="24"/>
      <c r="D602" s="24"/>
      <c r="E602" s="24"/>
      <c r="F602" s="24"/>
      <c r="G602" s="24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 spans="1:26" ht="15.75" customHeight="1" x14ac:dyDescent="0.25">
      <c r="A603" s="24"/>
      <c r="B603" s="24"/>
      <c r="C603" s="24"/>
      <c r="D603" s="24"/>
      <c r="E603" s="24"/>
      <c r="F603" s="24"/>
      <c r="G603" s="24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 spans="1:26" ht="15.75" customHeight="1" x14ac:dyDescent="0.25">
      <c r="A604" s="24"/>
      <c r="B604" s="24"/>
      <c r="C604" s="24"/>
      <c r="D604" s="24"/>
      <c r="E604" s="24"/>
      <c r="F604" s="24"/>
      <c r="G604" s="24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 spans="1:26" ht="15.75" customHeight="1" x14ac:dyDescent="0.25">
      <c r="A605" s="24"/>
      <c r="B605" s="24"/>
      <c r="C605" s="24"/>
      <c r="D605" s="24"/>
      <c r="E605" s="24"/>
      <c r="F605" s="24"/>
      <c r="G605" s="24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 spans="1:26" ht="15.75" customHeight="1" x14ac:dyDescent="0.25">
      <c r="A606" s="24"/>
      <c r="B606" s="24"/>
      <c r="C606" s="24"/>
      <c r="D606" s="24"/>
      <c r="E606" s="24"/>
      <c r="F606" s="24"/>
      <c r="G606" s="24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 spans="1:26" ht="15.75" customHeight="1" x14ac:dyDescent="0.25">
      <c r="A607" s="24"/>
      <c r="B607" s="24"/>
      <c r="C607" s="24"/>
      <c r="D607" s="24"/>
      <c r="E607" s="24"/>
      <c r="F607" s="24"/>
      <c r="G607" s="24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 spans="1:26" ht="15.75" customHeight="1" x14ac:dyDescent="0.25">
      <c r="A608" s="24"/>
      <c r="B608" s="24"/>
      <c r="C608" s="24"/>
      <c r="D608" s="24"/>
      <c r="E608" s="24"/>
      <c r="F608" s="24"/>
      <c r="G608" s="24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 spans="1:26" ht="15.75" customHeight="1" x14ac:dyDescent="0.25">
      <c r="A609" s="24"/>
      <c r="B609" s="24"/>
      <c r="C609" s="24"/>
      <c r="D609" s="24"/>
      <c r="E609" s="24"/>
      <c r="F609" s="24"/>
      <c r="G609" s="24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 spans="1:26" ht="15.75" customHeight="1" x14ac:dyDescent="0.25">
      <c r="A610" s="24"/>
      <c r="B610" s="24"/>
      <c r="C610" s="24"/>
      <c r="D610" s="24"/>
      <c r="E610" s="24"/>
      <c r="F610" s="24"/>
      <c r="G610" s="24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 spans="1:26" ht="15.75" customHeight="1" x14ac:dyDescent="0.25">
      <c r="A611" s="24"/>
      <c r="B611" s="24"/>
      <c r="C611" s="24"/>
      <c r="D611" s="24"/>
      <c r="E611" s="24"/>
      <c r="F611" s="24"/>
      <c r="G611" s="24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 spans="1:26" ht="15.75" customHeight="1" x14ac:dyDescent="0.25">
      <c r="A612" s="24"/>
      <c r="B612" s="24"/>
      <c r="C612" s="24"/>
      <c r="D612" s="24"/>
      <c r="E612" s="24"/>
      <c r="F612" s="24"/>
      <c r="G612" s="24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 spans="1:26" ht="15.75" customHeight="1" x14ac:dyDescent="0.25">
      <c r="A613" s="24"/>
      <c r="B613" s="24"/>
      <c r="C613" s="24"/>
      <c r="D613" s="24"/>
      <c r="E613" s="24"/>
      <c r="F613" s="24"/>
      <c r="G613" s="24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 spans="1:26" ht="15.75" customHeight="1" x14ac:dyDescent="0.25">
      <c r="A614" s="24"/>
      <c r="B614" s="24"/>
      <c r="C614" s="24"/>
      <c r="D614" s="24"/>
      <c r="E614" s="24"/>
      <c r="F614" s="24"/>
      <c r="G614" s="24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 spans="1:26" ht="15.75" customHeight="1" x14ac:dyDescent="0.25">
      <c r="A615" s="24"/>
      <c r="B615" s="24"/>
      <c r="C615" s="24"/>
      <c r="D615" s="24"/>
      <c r="E615" s="24"/>
      <c r="F615" s="24"/>
      <c r="G615" s="24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 spans="1:26" ht="15.75" customHeight="1" x14ac:dyDescent="0.25">
      <c r="A616" s="24"/>
      <c r="B616" s="24"/>
      <c r="C616" s="24"/>
      <c r="D616" s="24"/>
      <c r="E616" s="24"/>
      <c r="F616" s="24"/>
      <c r="G616" s="24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 spans="1:26" ht="15.75" customHeight="1" x14ac:dyDescent="0.25">
      <c r="A617" s="24"/>
      <c r="B617" s="24"/>
      <c r="C617" s="24"/>
      <c r="D617" s="24"/>
      <c r="E617" s="24"/>
      <c r="F617" s="24"/>
      <c r="G617" s="24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 spans="1:26" ht="15.75" customHeight="1" x14ac:dyDescent="0.25">
      <c r="A618" s="24"/>
      <c r="B618" s="24"/>
      <c r="C618" s="24"/>
      <c r="D618" s="24"/>
      <c r="E618" s="24"/>
      <c r="F618" s="24"/>
      <c r="G618" s="24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 spans="1:26" ht="15.75" customHeight="1" x14ac:dyDescent="0.25">
      <c r="A619" s="24"/>
      <c r="B619" s="24"/>
      <c r="C619" s="24"/>
      <c r="D619" s="24"/>
      <c r="E619" s="24"/>
      <c r="F619" s="24"/>
      <c r="G619" s="24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 spans="1:26" ht="15.75" customHeight="1" x14ac:dyDescent="0.25">
      <c r="A620" s="24"/>
      <c r="B620" s="24"/>
      <c r="C620" s="24"/>
      <c r="D620" s="24"/>
      <c r="E620" s="24"/>
      <c r="F620" s="24"/>
      <c r="G620" s="24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 spans="1:26" ht="15.75" customHeight="1" x14ac:dyDescent="0.25">
      <c r="A621" s="24"/>
      <c r="B621" s="24"/>
      <c r="C621" s="24"/>
      <c r="D621" s="24"/>
      <c r="E621" s="24"/>
      <c r="F621" s="24"/>
      <c r="G621" s="24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 spans="1:26" ht="15.75" customHeight="1" x14ac:dyDescent="0.25">
      <c r="A622" s="24"/>
      <c r="B622" s="24"/>
      <c r="C622" s="24"/>
      <c r="D622" s="24"/>
      <c r="E622" s="24"/>
      <c r="F622" s="24"/>
      <c r="G622" s="24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 spans="1:26" ht="15.75" customHeight="1" x14ac:dyDescent="0.25">
      <c r="A623" s="24"/>
      <c r="B623" s="24"/>
      <c r="C623" s="24"/>
      <c r="D623" s="24"/>
      <c r="E623" s="24"/>
      <c r="F623" s="24"/>
      <c r="G623" s="24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 spans="1:26" ht="15.75" customHeight="1" x14ac:dyDescent="0.25">
      <c r="A624" s="24"/>
      <c r="B624" s="24"/>
      <c r="C624" s="24"/>
      <c r="D624" s="24"/>
      <c r="E624" s="24"/>
      <c r="F624" s="24"/>
      <c r="G624" s="24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 spans="1:26" ht="15.75" customHeight="1" x14ac:dyDescent="0.25">
      <c r="A625" s="24"/>
      <c r="B625" s="24"/>
      <c r="C625" s="24"/>
      <c r="D625" s="24"/>
      <c r="E625" s="24"/>
      <c r="F625" s="24"/>
      <c r="G625" s="24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 spans="1:26" ht="15.75" customHeight="1" x14ac:dyDescent="0.25">
      <c r="A626" s="24"/>
      <c r="B626" s="24"/>
      <c r="C626" s="24"/>
      <c r="D626" s="24"/>
      <c r="E626" s="24"/>
      <c r="F626" s="24"/>
      <c r="G626" s="24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 spans="1:26" ht="15.75" customHeight="1" x14ac:dyDescent="0.25">
      <c r="A627" s="24"/>
      <c r="B627" s="24"/>
      <c r="C627" s="24"/>
      <c r="D627" s="24"/>
      <c r="E627" s="24"/>
      <c r="F627" s="24"/>
      <c r="G627" s="24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 spans="1:26" ht="15.75" customHeight="1" x14ac:dyDescent="0.25">
      <c r="A628" s="24"/>
      <c r="B628" s="24"/>
      <c r="C628" s="24"/>
      <c r="D628" s="24"/>
      <c r="E628" s="24"/>
      <c r="F628" s="24"/>
      <c r="G628" s="24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 spans="1:26" ht="15.75" customHeight="1" x14ac:dyDescent="0.25">
      <c r="A629" s="24"/>
      <c r="B629" s="24"/>
      <c r="C629" s="24"/>
      <c r="D629" s="24"/>
      <c r="E629" s="24"/>
      <c r="F629" s="24"/>
      <c r="G629" s="24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 spans="1:26" ht="15.75" customHeight="1" x14ac:dyDescent="0.25">
      <c r="A630" s="24"/>
      <c r="B630" s="24"/>
      <c r="C630" s="24"/>
      <c r="D630" s="24"/>
      <c r="E630" s="24"/>
      <c r="F630" s="24"/>
      <c r="G630" s="24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 spans="1:26" ht="15.75" customHeight="1" x14ac:dyDescent="0.25">
      <c r="A631" s="24"/>
      <c r="B631" s="24"/>
      <c r="C631" s="24"/>
      <c r="D631" s="24"/>
      <c r="E631" s="24"/>
      <c r="F631" s="24"/>
      <c r="G631" s="24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 spans="1:26" ht="15.75" customHeight="1" x14ac:dyDescent="0.25">
      <c r="A632" s="24"/>
      <c r="B632" s="24"/>
      <c r="C632" s="24"/>
      <c r="D632" s="24"/>
      <c r="E632" s="24"/>
      <c r="F632" s="24"/>
      <c r="G632" s="24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 spans="1:26" ht="15.75" customHeight="1" x14ac:dyDescent="0.25">
      <c r="A633" s="24"/>
      <c r="B633" s="24"/>
      <c r="C633" s="24"/>
      <c r="D633" s="24"/>
      <c r="E633" s="24"/>
      <c r="F633" s="24"/>
      <c r="G633" s="24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 spans="1:26" ht="15.75" customHeight="1" x14ac:dyDescent="0.25">
      <c r="A634" s="24"/>
      <c r="B634" s="24"/>
      <c r="C634" s="24"/>
      <c r="D634" s="24"/>
      <c r="E634" s="24"/>
      <c r="F634" s="24"/>
      <c r="G634" s="24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 spans="1:26" ht="15.75" customHeight="1" x14ac:dyDescent="0.25">
      <c r="A635" s="24"/>
      <c r="B635" s="24"/>
      <c r="C635" s="24"/>
      <c r="D635" s="24"/>
      <c r="E635" s="24"/>
      <c r="F635" s="24"/>
      <c r="G635" s="24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 spans="1:26" ht="15.75" customHeight="1" x14ac:dyDescent="0.25">
      <c r="A636" s="24"/>
      <c r="B636" s="24"/>
      <c r="C636" s="24"/>
      <c r="D636" s="24"/>
      <c r="E636" s="24"/>
      <c r="F636" s="24"/>
      <c r="G636" s="24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 spans="1:26" ht="15.75" customHeight="1" x14ac:dyDescent="0.25">
      <c r="A637" s="24"/>
      <c r="B637" s="24"/>
      <c r="C637" s="24"/>
      <c r="D637" s="24"/>
      <c r="E637" s="24"/>
      <c r="F637" s="24"/>
      <c r="G637" s="24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 spans="1:26" ht="15.75" customHeight="1" x14ac:dyDescent="0.25">
      <c r="A638" s="24"/>
      <c r="B638" s="24"/>
      <c r="C638" s="24"/>
      <c r="D638" s="24"/>
      <c r="E638" s="24"/>
      <c r="F638" s="24"/>
      <c r="G638" s="24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 spans="1:26" ht="15.75" customHeight="1" x14ac:dyDescent="0.25">
      <c r="A639" s="24"/>
      <c r="B639" s="24"/>
      <c r="C639" s="24"/>
      <c r="D639" s="24"/>
      <c r="E639" s="24"/>
      <c r="F639" s="24"/>
      <c r="G639" s="24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 spans="1:26" ht="15.75" customHeight="1" x14ac:dyDescent="0.25">
      <c r="A640" s="24"/>
      <c r="B640" s="24"/>
      <c r="C640" s="24"/>
      <c r="D640" s="24"/>
      <c r="E640" s="24"/>
      <c r="F640" s="24"/>
      <c r="G640" s="24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 spans="1:26" ht="15.75" customHeight="1" x14ac:dyDescent="0.25">
      <c r="A641" s="24"/>
      <c r="B641" s="24"/>
      <c r="C641" s="24"/>
      <c r="D641" s="24"/>
      <c r="E641" s="24"/>
      <c r="F641" s="24"/>
      <c r="G641" s="24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 spans="1:26" ht="15.75" customHeight="1" x14ac:dyDescent="0.25">
      <c r="A642" s="24"/>
      <c r="B642" s="24"/>
      <c r="C642" s="24"/>
      <c r="D642" s="24"/>
      <c r="E642" s="24"/>
      <c r="F642" s="24"/>
      <c r="G642" s="24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 spans="1:26" ht="15.75" customHeight="1" x14ac:dyDescent="0.25">
      <c r="A643" s="24"/>
      <c r="B643" s="24"/>
      <c r="C643" s="24"/>
      <c r="D643" s="24"/>
      <c r="E643" s="24"/>
      <c r="F643" s="24"/>
      <c r="G643" s="24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 spans="1:26" ht="15.75" customHeight="1" x14ac:dyDescent="0.25">
      <c r="A644" s="24"/>
      <c r="B644" s="24"/>
      <c r="C644" s="24"/>
      <c r="D644" s="24"/>
      <c r="E644" s="24"/>
      <c r="F644" s="24"/>
      <c r="G644" s="24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 spans="1:26" ht="15.75" customHeight="1" x14ac:dyDescent="0.25">
      <c r="A645" s="24"/>
      <c r="B645" s="24"/>
      <c r="C645" s="24"/>
      <c r="D645" s="24"/>
      <c r="E645" s="24"/>
      <c r="F645" s="24"/>
      <c r="G645" s="24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 spans="1:26" ht="15.75" customHeight="1" x14ac:dyDescent="0.25">
      <c r="A646" s="24"/>
      <c r="B646" s="24"/>
      <c r="C646" s="24"/>
      <c r="D646" s="24"/>
      <c r="E646" s="24"/>
      <c r="F646" s="24"/>
      <c r="G646" s="24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 spans="1:26" ht="15.75" customHeight="1" x14ac:dyDescent="0.25">
      <c r="A647" s="24"/>
      <c r="B647" s="24"/>
      <c r="C647" s="24"/>
      <c r="D647" s="24"/>
      <c r="E647" s="24"/>
      <c r="F647" s="24"/>
      <c r="G647" s="24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 spans="1:26" ht="15.75" customHeight="1" x14ac:dyDescent="0.25">
      <c r="A648" s="24"/>
      <c r="B648" s="24"/>
      <c r="C648" s="24"/>
      <c r="D648" s="24"/>
      <c r="E648" s="24"/>
      <c r="F648" s="24"/>
      <c r="G648" s="24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 spans="1:26" ht="15.75" customHeight="1" x14ac:dyDescent="0.25">
      <c r="A649" s="24"/>
      <c r="B649" s="24"/>
      <c r="C649" s="24"/>
      <c r="D649" s="24"/>
      <c r="E649" s="24"/>
      <c r="F649" s="24"/>
      <c r="G649" s="24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 spans="1:26" ht="15.75" customHeight="1" x14ac:dyDescent="0.25">
      <c r="A650" s="24"/>
      <c r="B650" s="24"/>
      <c r="C650" s="24"/>
      <c r="D650" s="24"/>
      <c r="E650" s="24"/>
      <c r="F650" s="24"/>
      <c r="G650" s="24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 spans="1:26" ht="15.75" customHeight="1" x14ac:dyDescent="0.25">
      <c r="A651" s="24"/>
      <c r="B651" s="24"/>
      <c r="C651" s="24"/>
      <c r="D651" s="24"/>
      <c r="E651" s="24"/>
      <c r="F651" s="24"/>
      <c r="G651" s="24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 spans="1:26" ht="15.75" customHeight="1" x14ac:dyDescent="0.25">
      <c r="A652" s="24"/>
      <c r="B652" s="24"/>
      <c r="C652" s="24"/>
      <c r="D652" s="24"/>
      <c r="E652" s="24"/>
      <c r="F652" s="24"/>
      <c r="G652" s="24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 spans="1:26" ht="15.75" customHeight="1" x14ac:dyDescent="0.25">
      <c r="A653" s="24"/>
      <c r="B653" s="24"/>
      <c r="C653" s="24"/>
      <c r="D653" s="24"/>
      <c r="E653" s="24"/>
      <c r="F653" s="24"/>
      <c r="G653" s="24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 spans="1:26" ht="15.75" customHeight="1" x14ac:dyDescent="0.25">
      <c r="A654" s="24"/>
      <c r="B654" s="24"/>
      <c r="C654" s="24"/>
      <c r="D654" s="24"/>
      <c r="E654" s="24"/>
      <c r="F654" s="24"/>
      <c r="G654" s="24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 spans="1:26" ht="15.75" customHeight="1" x14ac:dyDescent="0.25">
      <c r="A655" s="24"/>
      <c r="B655" s="24"/>
      <c r="C655" s="24"/>
      <c r="D655" s="24"/>
      <c r="E655" s="24"/>
      <c r="F655" s="24"/>
      <c r="G655" s="24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 spans="1:26" ht="15.75" customHeight="1" x14ac:dyDescent="0.25">
      <c r="A656" s="24"/>
      <c r="B656" s="24"/>
      <c r="C656" s="24"/>
      <c r="D656" s="24"/>
      <c r="E656" s="24"/>
      <c r="F656" s="24"/>
      <c r="G656" s="24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 spans="1:26" ht="15.75" customHeight="1" x14ac:dyDescent="0.25">
      <c r="A657" s="24"/>
      <c r="B657" s="24"/>
      <c r="C657" s="24"/>
      <c r="D657" s="24"/>
      <c r="E657" s="24"/>
      <c r="F657" s="24"/>
      <c r="G657" s="24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 spans="1:26" ht="15.75" customHeight="1" x14ac:dyDescent="0.25">
      <c r="A658" s="24"/>
      <c r="B658" s="24"/>
      <c r="C658" s="24"/>
      <c r="D658" s="24"/>
      <c r="E658" s="24"/>
      <c r="F658" s="24"/>
      <c r="G658" s="24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 spans="1:26" ht="15.75" customHeight="1" x14ac:dyDescent="0.25">
      <c r="A659" s="24"/>
      <c r="B659" s="24"/>
      <c r="C659" s="24"/>
      <c r="D659" s="24"/>
      <c r="E659" s="24"/>
      <c r="F659" s="24"/>
      <c r="G659" s="24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 spans="1:26" ht="15.75" customHeight="1" x14ac:dyDescent="0.25">
      <c r="A660" s="24"/>
      <c r="B660" s="24"/>
      <c r="C660" s="24"/>
      <c r="D660" s="24"/>
      <c r="E660" s="24"/>
      <c r="F660" s="24"/>
      <c r="G660" s="24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 spans="1:26" ht="15.75" customHeight="1" x14ac:dyDescent="0.25">
      <c r="A661" s="24"/>
      <c r="B661" s="24"/>
      <c r="C661" s="24"/>
      <c r="D661" s="24"/>
      <c r="E661" s="24"/>
      <c r="F661" s="24"/>
      <c r="G661" s="24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 spans="1:26" ht="15.75" customHeight="1" x14ac:dyDescent="0.25">
      <c r="A662" s="24"/>
      <c r="B662" s="24"/>
      <c r="C662" s="24"/>
      <c r="D662" s="24"/>
      <c r="E662" s="24"/>
      <c r="F662" s="24"/>
      <c r="G662" s="24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 spans="1:26" ht="15.75" customHeight="1" x14ac:dyDescent="0.25">
      <c r="A663" s="24"/>
      <c r="B663" s="24"/>
      <c r="C663" s="24"/>
      <c r="D663" s="24"/>
      <c r="E663" s="24"/>
      <c r="F663" s="24"/>
      <c r="G663" s="24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 spans="1:26" ht="15.75" customHeight="1" x14ac:dyDescent="0.25">
      <c r="A664" s="24"/>
      <c r="B664" s="24"/>
      <c r="C664" s="24"/>
      <c r="D664" s="24"/>
      <c r="E664" s="24"/>
      <c r="F664" s="24"/>
      <c r="G664" s="24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 spans="1:26" ht="15.75" customHeight="1" x14ac:dyDescent="0.25">
      <c r="A665" s="24"/>
      <c r="B665" s="24"/>
      <c r="C665" s="24"/>
      <c r="D665" s="24"/>
      <c r="E665" s="24"/>
      <c r="F665" s="24"/>
      <c r="G665" s="24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 spans="1:26" ht="15.75" customHeight="1" x14ac:dyDescent="0.25">
      <c r="A666" s="24"/>
      <c r="B666" s="24"/>
      <c r="C666" s="24"/>
      <c r="D666" s="24"/>
      <c r="E666" s="24"/>
      <c r="F666" s="24"/>
      <c r="G666" s="24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 spans="1:26" ht="15.75" customHeight="1" x14ac:dyDescent="0.25">
      <c r="A667" s="24"/>
      <c r="B667" s="24"/>
      <c r="C667" s="24"/>
      <c r="D667" s="24"/>
      <c r="E667" s="24"/>
      <c r="F667" s="24"/>
      <c r="G667" s="24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 spans="1:26" ht="15.75" customHeight="1" x14ac:dyDescent="0.25">
      <c r="A668" s="24"/>
      <c r="B668" s="24"/>
      <c r="C668" s="24"/>
      <c r="D668" s="24"/>
      <c r="E668" s="24"/>
      <c r="F668" s="24"/>
      <c r="G668" s="24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 spans="1:26" ht="15.75" customHeight="1" x14ac:dyDescent="0.25">
      <c r="A669" s="24"/>
      <c r="B669" s="24"/>
      <c r="C669" s="24"/>
      <c r="D669" s="24"/>
      <c r="E669" s="24"/>
      <c r="F669" s="24"/>
      <c r="G669" s="24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 spans="1:26" ht="15.75" customHeight="1" x14ac:dyDescent="0.25">
      <c r="A670" s="24"/>
      <c r="B670" s="24"/>
      <c r="C670" s="24"/>
      <c r="D670" s="24"/>
      <c r="E670" s="24"/>
      <c r="F670" s="24"/>
      <c r="G670" s="24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 spans="1:26" ht="15.75" customHeight="1" x14ac:dyDescent="0.25">
      <c r="A671" s="24"/>
      <c r="B671" s="24"/>
      <c r="C671" s="24"/>
      <c r="D671" s="24"/>
      <c r="E671" s="24"/>
      <c r="F671" s="24"/>
      <c r="G671" s="24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 spans="1:26" ht="15.75" customHeight="1" x14ac:dyDescent="0.25">
      <c r="A672" s="24"/>
      <c r="B672" s="24"/>
      <c r="C672" s="24"/>
      <c r="D672" s="24"/>
      <c r="E672" s="24"/>
      <c r="F672" s="24"/>
      <c r="G672" s="24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 spans="1:26" ht="15.75" customHeight="1" x14ac:dyDescent="0.25">
      <c r="A673" s="24"/>
      <c r="B673" s="24"/>
      <c r="C673" s="24"/>
      <c r="D673" s="24"/>
      <c r="E673" s="24"/>
      <c r="F673" s="24"/>
      <c r="G673" s="24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 spans="1:26" ht="15.75" customHeight="1" x14ac:dyDescent="0.25">
      <c r="A674" s="24"/>
      <c r="B674" s="24"/>
      <c r="C674" s="24"/>
      <c r="D674" s="24"/>
      <c r="E674" s="24"/>
      <c r="F674" s="24"/>
      <c r="G674" s="24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 spans="1:26" ht="15.75" customHeight="1" x14ac:dyDescent="0.25">
      <c r="A675" s="24"/>
      <c r="B675" s="24"/>
      <c r="C675" s="24"/>
      <c r="D675" s="24"/>
      <c r="E675" s="24"/>
      <c r="F675" s="24"/>
      <c r="G675" s="24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 spans="1:26" ht="15.75" customHeight="1" x14ac:dyDescent="0.25">
      <c r="A676" s="24"/>
      <c r="B676" s="24"/>
      <c r="C676" s="24"/>
      <c r="D676" s="24"/>
      <c r="E676" s="24"/>
      <c r="F676" s="24"/>
      <c r="G676" s="24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 spans="1:26" ht="15.75" customHeight="1" x14ac:dyDescent="0.25">
      <c r="A677" s="24"/>
      <c r="B677" s="24"/>
      <c r="C677" s="24"/>
      <c r="D677" s="24"/>
      <c r="E677" s="24"/>
      <c r="F677" s="24"/>
      <c r="G677" s="24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 spans="1:26" ht="15.75" customHeight="1" x14ac:dyDescent="0.25">
      <c r="A678" s="24"/>
      <c r="B678" s="24"/>
      <c r="C678" s="24"/>
      <c r="D678" s="24"/>
      <c r="E678" s="24"/>
      <c r="F678" s="24"/>
      <c r="G678" s="24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 spans="1:26" ht="15.75" customHeight="1" x14ac:dyDescent="0.25">
      <c r="A679" s="24"/>
      <c r="B679" s="24"/>
      <c r="C679" s="24"/>
      <c r="D679" s="24"/>
      <c r="E679" s="24"/>
      <c r="F679" s="24"/>
      <c r="G679" s="24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 spans="1:26" ht="15.75" customHeight="1" x14ac:dyDescent="0.25">
      <c r="A680" s="24"/>
      <c r="B680" s="24"/>
      <c r="C680" s="24"/>
      <c r="D680" s="24"/>
      <c r="E680" s="24"/>
      <c r="F680" s="24"/>
      <c r="G680" s="24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 spans="1:26" ht="15.75" customHeight="1" x14ac:dyDescent="0.25">
      <c r="A681" s="24"/>
      <c r="B681" s="24"/>
      <c r="C681" s="24"/>
      <c r="D681" s="24"/>
      <c r="E681" s="24"/>
      <c r="F681" s="24"/>
      <c r="G681" s="24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 spans="1:26" ht="15.75" customHeight="1" x14ac:dyDescent="0.25">
      <c r="A682" s="24"/>
      <c r="B682" s="24"/>
      <c r="C682" s="24"/>
      <c r="D682" s="24"/>
      <c r="E682" s="24"/>
      <c r="F682" s="24"/>
      <c r="G682" s="24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 spans="1:26" ht="15.75" customHeight="1" x14ac:dyDescent="0.25">
      <c r="A683" s="24"/>
      <c r="B683" s="24"/>
      <c r="C683" s="24"/>
      <c r="D683" s="24"/>
      <c r="E683" s="24"/>
      <c r="F683" s="24"/>
      <c r="G683" s="24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 spans="1:26" ht="15.75" customHeight="1" x14ac:dyDescent="0.25">
      <c r="A684" s="24"/>
      <c r="B684" s="24"/>
      <c r="C684" s="24"/>
      <c r="D684" s="24"/>
      <c r="E684" s="24"/>
      <c r="F684" s="24"/>
      <c r="G684" s="24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 spans="1:26" ht="15.75" customHeight="1" x14ac:dyDescent="0.25">
      <c r="A685" s="24"/>
      <c r="B685" s="24"/>
      <c r="C685" s="24"/>
      <c r="D685" s="24"/>
      <c r="E685" s="24"/>
      <c r="F685" s="24"/>
      <c r="G685" s="24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 spans="1:26" ht="15.75" customHeight="1" x14ac:dyDescent="0.25">
      <c r="A686" s="24"/>
      <c r="B686" s="24"/>
      <c r="C686" s="24"/>
      <c r="D686" s="24"/>
      <c r="E686" s="24"/>
      <c r="F686" s="24"/>
      <c r="G686" s="24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 spans="1:26" ht="15.75" customHeight="1" x14ac:dyDescent="0.25">
      <c r="A687" s="24"/>
      <c r="B687" s="24"/>
      <c r="C687" s="24"/>
      <c r="D687" s="24"/>
      <c r="E687" s="24"/>
      <c r="F687" s="24"/>
      <c r="G687" s="24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 spans="1:26" ht="15.75" customHeight="1" x14ac:dyDescent="0.25">
      <c r="A688" s="24"/>
      <c r="B688" s="24"/>
      <c r="C688" s="24"/>
      <c r="D688" s="24"/>
      <c r="E688" s="24"/>
      <c r="F688" s="24"/>
      <c r="G688" s="24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 spans="1:26" ht="15.75" customHeight="1" x14ac:dyDescent="0.25">
      <c r="A689" s="24"/>
      <c r="B689" s="24"/>
      <c r="C689" s="24"/>
      <c r="D689" s="24"/>
      <c r="E689" s="24"/>
      <c r="F689" s="24"/>
      <c r="G689" s="24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 spans="1:26" ht="15.75" customHeight="1" x14ac:dyDescent="0.25">
      <c r="A690" s="24"/>
      <c r="B690" s="24"/>
      <c r="C690" s="24"/>
      <c r="D690" s="24"/>
      <c r="E690" s="24"/>
      <c r="F690" s="24"/>
      <c r="G690" s="24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 spans="1:26" ht="15.75" customHeight="1" x14ac:dyDescent="0.25">
      <c r="A691" s="24"/>
      <c r="B691" s="24"/>
      <c r="C691" s="24"/>
      <c r="D691" s="24"/>
      <c r="E691" s="24"/>
      <c r="F691" s="24"/>
      <c r="G691" s="24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 spans="1:26" ht="15.75" customHeight="1" x14ac:dyDescent="0.25">
      <c r="A692" s="24"/>
      <c r="B692" s="24"/>
      <c r="C692" s="24"/>
      <c r="D692" s="24"/>
      <c r="E692" s="24"/>
      <c r="F692" s="24"/>
      <c r="G692" s="24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 spans="1:26" ht="15.75" customHeight="1" x14ac:dyDescent="0.25">
      <c r="A693" s="24"/>
      <c r="B693" s="24"/>
      <c r="C693" s="24"/>
      <c r="D693" s="24"/>
      <c r="E693" s="24"/>
      <c r="F693" s="24"/>
      <c r="G693" s="24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 spans="1:26" ht="15.75" customHeight="1" x14ac:dyDescent="0.25">
      <c r="A694" s="24"/>
      <c r="B694" s="24"/>
      <c r="C694" s="24"/>
      <c r="D694" s="24"/>
      <c r="E694" s="24"/>
      <c r="F694" s="24"/>
      <c r="G694" s="24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 spans="1:26" ht="15.75" customHeight="1" x14ac:dyDescent="0.25">
      <c r="A695" s="24"/>
      <c r="B695" s="24"/>
      <c r="C695" s="24"/>
      <c r="D695" s="24"/>
      <c r="E695" s="24"/>
      <c r="F695" s="24"/>
      <c r="G695" s="24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 spans="1:26" ht="15.75" customHeight="1" x14ac:dyDescent="0.25">
      <c r="A696" s="24"/>
      <c r="B696" s="24"/>
      <c r="C696" s="24"/>
      <c r="D696" s="24"/>
      <c r="E696" s="24"/>
      <c r="F696" s="24"/>
      <c r="G696" s="24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 spans="1:26" ht="15.75" customHeight="1" x14ac:dyDescent="0.25">
      <c r="A697" s="24"/>
      <c r="B697" s="24"/>
      <c r="C697" s="24"/>
      <c r="D697" s="24"/>
      <c r="E697" s="24"/>
      <c r="F697" s="24"/>
      <c r="G697" s="24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 spans="1:26" ht="15.75" customHeight="1" x14ac:dyDescent="0.25">
      <c r="A698" s="24"/>
      <c r="B698" s="24"/>
      <c r="C698" s="24"/>
      <c r="D698" s="24"/>
      <c r="E698" s="24"/>
      <c r="F698" s="24"/>
      <c r="G698" s="24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 spans="1:26" ht="15.75" customHeight="1" x14ac:dyDescent="0.25">
      <c r="A699" s="24"/>
      <c r="B699" s="24"/>
      <c r="C699" s="24"/>
      <c r="D699" s="24"/>
      <c r="E699" s="24"/>
      <c r="F699" s="24"/>
      <c r="G699" s="24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 spans="1:26" ht="15.75" customHeight="1" x14ac:dyDescent="0.25">
      <c r="A700" s="24"/>
      <c r="B700" s="24"/>
      <c r="C700" s="24"/>
      <c r="D700" s="24"/>
      <c r="E700" s="24"/>
      <c r="F700" s="24"/>
      <c r="G700" s="24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 spans="1:26" ht="15.75" customHeight="1" x14ac:dyDescent="0.25">
      <c r="A701" s="24"/>
      <c r="B701" s="24"/>
      <c r="C701" s="24"/>
      <c r="D701" s="24"/>
      <c r="E701" s="24"/>
      <c r="F701" s="24"/>
      <c r="G701" s="24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 spans="1:26" ht="15.75" customHeight="1" x14ac:dyDescent="0.25">
      <c r="A702" s="24"/>
      <c r="B702" s="24"/>
      <c r="C702" s="24"/>
      <c r="D702" s="24"/>
      <c r="E702" s="24"/>
      <c r="F702" s="24"/>
      <c r="G702" s="24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 spans="1:26" ht="15.75" customHeight="1" x14ac:dyDescent="0.25">
      <c r="A703" s="24"/>
      <c r="B703" s="24"/>
      <c r="C703" s="24"/>
      <c r="D703" s="24"/>
      <c r="E703" s="24"/>
      <c r="F703" s="24"/>
      <c r="G703" s="24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 spans="1:26" ht="15.75" customHeight="1" x14ac:dyDescent="0.25">
      <c r="A704" s="24"/>
      <c r="B704" s="24"/>
      <c r="C704" s="24"/>
      <c r="D704" s="24"/>
      <c r="E704" s="24"/>
      <c r="F704" s="24"/>
      <c r="G704" s="24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 spans="1:26" ht="15.75" customHeight="1" x14ac:dyDescent="0.25">
      <c r="A705" s="24"/>
      <c r="B705" s="24"/>
      <c r="C705" s="24"/>
      <c r="D705" s="24"/>
      <c r="E705" s="24"/>
      <c r="F705" s="24"/>
      <c r="G705" s="24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 spans="1:26" ht="15.75" customHeight="1" x14ac:dyDescent="0.25">
      <c r="A706" s="24"/>
      <c r="B706" s="24"/>
      <c r="C706" s="24"/>
      <c r="D706" s="24"/>
      <c r="E706" s="24"/>
      <c r="F706" s="24"/>
      <c r="G706" s="24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 spans="1:26" ht="15.75" customHeight="1" x14ac:dyDescent="0.25">
      <c r="A707" s="24"/>
      <c r="B707" s="24"/>
      <c r="C707" s="24"/>
      <c r="D707" s="24"/>
      <c r="E707" s="24"/>
      <c r="F707" s="24"/>
      <c r="G707" s="24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 spans="1:26" ht="15.75" customHeight="1" x14ac:dyDescent="0.25">
      <c r="A708" s="24"/>
      <c r="B708" s="24"/>
      <c r="C708" s="24"/>
      <c r="D708" s="24"/>
      <c r="E708" s="24"/>
      <c r="F708" s="24"/>
      <c r="G708" s="24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 spans="1:26" ht="15.75" customHeight="1" x14ac:dyDescent="0.25">
      <c r="A709" s="24"/>
      <c r="B709" s="24"/>
      <c r="C709" s="24"/>
      <c r="D709" s="24"/>
      <c r="E709" s="24"/>
      <c r="F709" s="24"/>
      <c r="G709" s="24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 spans="1:26" ht="15.75" customHeight="1" x14ac:dyDescent="0.25">
      <c r="A710" s="24"/>
      <c r="B710" s="24"/>
      <c r="C710" s="24"/>
      <c r="D710" s="24"/>
      <c r="E710" s="24"/>
      <c r="F710" s="24"/>
      <c r="G710" s="24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 spans="1:26" ht="15.75" customHeight="1" x14ac:dyDescent="0.25">
      <c r="A711" s="24"/>
      <c r="B711" s="24"/>
      <c r="C711" s="24"/>
      <c r="D711" s="24"/>
      <c r="E711" s="24"/>
      <c r="F711" s="24"/>
      <c r="G711" s="24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 spans="1:26" ht="15.75" customHeight="1" x14ac:dyDescent="0.25">
      <c r="A712" s="24"/>
      <c r="B712" s="24"/>
      <c r="C712" s="24"/>
      <c r="D712" s="24"/>
      <c r="E712" s="24"/>
      <c r="F712" s="24"/>
      <c r="G712" s="24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 spans="1:26" ht="15.75" customHeight="1" x14ac:dyDescent="0.25">
      <c r="A713" s="24"/>
      <c r="B713" s="24"/>
      <c r="C713" s="24"/>
      <c r="D713" s="24"/>
      <c r="E713" s="24"/>
      <c r="F713" s="24"/>
      <c r="G713" s="24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 spans="1:26" ht="15.75" customHeight="1" x14ac:dyDescent="0.25">
      <c r="A714" s="24"/>
      <c r="B714" s="24"/>
      <c r="C714" s="24"/>
      <c r="D714" s="24"/>
      <c r="E714" s="24"/>
      <c r="F714" s="24"/>
      <c r="G714" s="24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 spans="1:26" ht="15.75" customHeight="1" x14ac:dyDescent="0.25">
      <c r="A715" s="24"/>
      <c r="B715" s="24"/>
      <c r="C715" s="24"/>
      <c r="D715" s="24"/>
      <c r="E715" s="24"/>
      <c r="F715" s="24"/>
      <c r="G715" s="24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 spans="1:26" ht="15.75" customHeight="1" x14ac:dyDescent="0.25">
      <c r="A716" s="24"/>
      <c r="B716" s="24"/>
      <c r="C716" s="24"/>
      <c r="D716" s="24"/>
      <c r="E716" s="24"/>
      <c r="F716" s="24"/>
      <c r="G716" s="24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 spans="1:26" ht="15.75" customHeight="1" x14ac:dyDescent="0.25">
      <c r="A717" s="24"/>
      <c r="B717" s="24"/>
      <c r="C717" s="24"/>
      <c r="D717" s="24"/>
      <c r="E717" s="24"/>
      <c r="F717" s="24"/>
      <c r="G717" s="24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 spans="1:26" ht="15.75" customHeight="1" x14ac:dyDescent="0.25">
      <c r="A718" s="24"/>
      <c r="B718" s="24"/>
      <c r="C718" s="24"/>
      <c r="D718" s="24"/>
      <c r="E718" s="24"/>
      <c r="F718" s="24"/>
      <c r="G718" s="24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 spans="1:26" ht="15.75" customHeight="1" x14ac:dyDescent="0.25">
      <c r="A719" s="24"/>
      <c r="B719" s="24"/>
      <c r="C719" s="24"/>
      <c r="D719" s="24"/>
      <c r="E719" s="24"/>
      <c r="F719" s="24"/>
      <c r="G719" s="24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 spans="1:26" ht="15.75" customHeight="1" x14ac:dyDescent="0.25">
      <c r="A720" s="24"/>
      <c r="B720" s="24"/>
      <c r="C720" s="24"/>
      <c r="D720" s="24"/>
      <c r="E720" s="24"/>
      <c r="F720" s="24"/>
      <c r="G720" s="24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 spans="1:26" ht="15.75" customHeight="1" x14ac:dyDescent="0.25">
      <c r="A721" s="24"/>
      <c r="B721" s="24"/>
      <c r="C721" s="24"/>
      <c r="D721" s="24"/>
      <c r="E721" s="24"/>
      <c r="F721" s="24"/>
      <c r="G721" s="24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 spans="1:26" ht="15.75" customHeight="1" x14ac:dyDescent="0.25">
      <c r="A722" s="24"/>
      <c r="B722" s="24"/>
      <c r="C722" s="24"/>
      <c r="D722" s="24"/>
      <c r="E722" s="24"/>
      <c r="F722" s="24"/>
      <c r="G722" s="24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 spans="1:26" ht="15.75" customHeight="1" x14ac:dyDescent="0.25">
      <c r="A723" s="24"/>
      <c r="B723" s="24"/>
      <c r="C723" s="24"/>
      <c r="D723" s="24"/>
      <c r="E723" s="24"/>
      <c r="F723" s="24"/>
      <c r="G723" s="24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 spans="1:26" ht="15.75" customHeight="1" x14ac:dyDescent="0.25">
      <c r="A724" s="24"/>
      <c r="B724" s="24"/>
      <c r="C724" s="24"/>
      <c r="D724" s="24"/>
      <c r="E724" s="24"/>
      <c r="F724" s="24"/>
      <c r="G724" s="24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 spans="1:26" ht="15.75" customHeight="1" x14ac:dyDescent="0.25">
      <c r="A725" s="24"/>
      <c r="B725" s="24"/>
      <c r="C725" s="24"/>
      <c r="D725" s="24"/>
      <c r="E725" s="24"/>
      <c r="F725" s="24"/>
      <c r="G725" s="24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 spans="1:26" ht="15.75" customHeight="1" x14ac:dyDescent="0.25">
      <c r="A726" s="24"/>
      <c r="B726" s="24"/>
      <c r="C726" s="24"/>
      <c r="D726" s="24"/>
      <c r="E726" s="24"/>
      <c r="F726" s="24"/>
      <c r="G726" s="24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 spans="1:26" ht="15.75" customHeight="1" x14ac:dyDescent="0.25">
      <c r="A727" s="24"/>
      <c r="B727" s="24"/>
      <c r="C727" s="24"/>
      <c r="D727" s="24"/>
      <c r="E727" s="24"/>
      <c r="F727" s="24"/>
      <c r="G727" s="24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 spans="1:26" ht="15.75" customHeight="1" x14ac:dyDescent="0.25">
      <c r="A728" s="24"/>
      <c r="B728" s="24"/>
      <c r="C728" s="24"/>
      <c r="D728" s="24"/>
      <c r="E728" s="24"/>
      <c r="F728" s="24"/>
      <c r="G728" s="24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 spans="1:26" ht="15.75" customHeight="1" x14ac:dyDescent="0.25">
      <c r="A729" s="24"/>
      <c r="B729" s="24"/>
      <c r="C729" s="24"/>
      <c r="D729" s="24"/>
      <c r="E729" s="24"/>
      <c r="F729" s="24"/>
      <c r="G729" s="24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 spans="1:26" ht="15.75" customHeight="1" x14ac:dyDescent="0.25">
      <c r="A730" s="24"/>
      <c r="B730" s="24"/>
      <c r="C730" s="24"/>
      <c r="D730" s="24"/>
      <c r="E730" s="24"/>
      <c r="F730" s="24"/>
      <c r="G730" s="24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 spans="1:26" ht="15.75" customHeight="1" x14ac:dyDescent="0.25">
      <c r="A731" s="24"/>
      <c r="B731" s="24"/>
      <c r="C731" s="24"/>
      <c r="D731" s="24"/>
      <c r="E731" s="24"/>
      <c r="F731" s="24"/>
      <c r="G731" s="24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 spans="1:26" ht="15.75" customHeight="1" x14ac:dyDescent="0.25">
      <c r="A732" s="24"/>
      <c r="B732" s="24"/>
      <c r="C732" s="24"/>
      <c r="D732" s="24"/>
      <c r="E732" s="24"/>
      <c r="F732" s="24"/>
      <c r="G732" s="24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 spans="1:26" ht="15.75" customHeight="1" x14ac:dyDescent="0.25">
      <c r="A733" s="24"/>
      <c r="B733" s="24"/>
      <c r="C733" s="24"/>
      <c r="D733" s="24"/>
      <c r="E733" s="24"/>
      <c r="F733" s="24"/>
      <c r="G733" s="24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 spans="1:26" ht="15.75" customHeight="1" x14ac:dyDescent="0.25">
      <c r="A734" s="24"/>
      <c r="B734" s="24"/>
      <c r="C734" s="24"/>
      <c r="D734" s="24"/>
      <c r="E734" s="24"/>
      <c r="F734" s="24"/>
      <c r="G734" s="24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 spans="1:26" ht="15.75" customHeight="1" x14ac:dyDescent="0.25">
      <c r="A735" s="24"/>
      <c r="B735" s="24"/>
      <c r="C735" s="24"/>
      <c r="D735" s="24"/>
      <c r="E735" s="24"/>
      <c r="F735" s="24"/>
      <c r="G735" s="24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 spans="1:26" ht="15.75" customHeight="1" x14ac:dyDescent="0.25">
      <c r="A736" s="24"/>
      <c r="B736" s="24"/>
      <c r="C736" s="24"/>
      <c r="D736" s="24"/>
      <c r="E736" s="24"/>
      <c r="F736" s="24"/>
      <c r="G736" s="24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 spans="1:26" ht="15.75" customHeight="1" x14ac:dyDescent="0.25">
      <c r="A737" s="24"/>
      <c r="B737" s="24"/>
      <c r="C737" s="24"/>
      <c r="D737" s="24"/>
      <c r="E737" s="24"/>
      <c r="F737" s="24"/>
      <c r="G737" s="24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 spans="1:26" ht="15.75" customHeight="1" x14ac:dyDescent="0.25">
      <c r="A738" s="24"/>
      <c r="B738" s="24"/>
      <c r="C738" s="24"/>
      <c r="D738" s="24"/>
      <c r="E738" s="24"/>
      <c r="F738" s="24"/>
      <c r="G738" s="24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 spans="1:26" ht="15.75" customHeight="1" x14ac:dyDescent="0.25">
      <c r="A739" s="24"/>
      <c r="B739" s="24"/>
      <c r="C739" s="24"/>
      <c r="D739" s="24"/>
      <c r="E739" s="24"/>
      <c r="F739" s="24"/>
      <c r="G739" s="24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 spans="1:26" ht="15.75" customHeight="1" x14ac:dyDescent="0.25">
      <c r="A740" s="24"/>
      <c r="B740" s="24"/>
      <c r="C740" s="24"/>
      <c r="D740" s="24"/>
      <c r="E740" s="24"/>
      <c r="F740" s="24"/>
      <c r="G740" s="24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 spans="1:26" ht="15.75" customHeight="1" x14ac:dyDescent="0.25">
      <c r="A741" s="24"/>
      <c r="B741" s="24"/>
      <c r="C741" s="24"/>
      <c r="D741" s="24"/>
      <c r="E741" s="24"/>
      <c r="F741" s="24"/>
      <c r="G741" s="24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 spans="1:26" ht="15.75" customHeight="1" x14ac:dyDescent="0.25">
      <c r="A742" s="24"/>
      <c r="B742" s="24"/>
      <c r="C742" s="24"/>
      <c r="D742" s="24"/>
      <c r="E742" s="24"/>
      <c r="F742" s="24"/>
      <c r="G742" s="24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 spans="1:26" ht="15.75" customHeight="1" x14ac:dyDescent="0.25">
      <c r="A743" s="24"/>
      <c r="B743" s="24"/>
      <c r="C743" s="24"/>
      <c r="D743" s="24"/>
      <c r="E743" s="24"/>
      <c r="F743" s="24"/>
      <c r="G743" s="24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 spans="1:26" ht="15.75" customHeight="1" x14ac:dyDescent="0.25">
      <c r="A744" s="24"/>
      <c r="B744" s="24"/>
      <c r="C744" s="24"/>
      <c r="D744" s="24"/>
      <c r="E744" s="24"/>
      <c r="F744" s="24"/>
      <c r="G744" s="24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 spans="1:26" ht="15.75" customHeight="1" x14ac:dyDescent="0.25">
      <c r="A745" s="24"/>
      <c r="B745" s="24"/>
      <c r="C745" s="24"/>
      <c r="D745" s="24"/>
      <c r="E745" s="24"/>
      <c r="F745" s="24"/>
      <c r="G745" s="24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 spans="1:26" ht="15.75" customHeight="1" x14ac:dyDescent="0.25">
      <c r="A746" s="24"/>
      <c r="B746" s="24"/>
      <c r="C746" s="24"/>
      <c r="D746" s="24"/>
      <c r="E746" s="24"/>
      <c r="F746" s="24"/>
      <c r="G746" s="24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 spans="1:26" ht="15.75" customHeight="1" x14ac:dyDescent="0.25">
      <c r="A747" s="24"/>
      <c r="B747" s="24"/>
      <c r="C747" s="24"/>
      <c r="D747" s="24"/>
      <c r="E747" s="24"/>
      <c r="F747" s="24"/>
      <c r="G747" s="24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 spans="1:26" ht="15.75" customHeight="1" x14ac:dyDescent="0.25">
      <c r="A748" s="24"/>
      <c r="B748" s="24"/>
      <c r="C748" s="24"/>
      <c r="D748" s="24"/>
      <c r="E748" s="24"/>
      <c r="F748" s="24"/>
      <c r="G748" s="24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 spans="1:26" ht="15.75" customHeight="1" x14ac:dyDescent="0.25">
      <c r="A749" s="24"/>
      <c r="B749" s="24"/>
      <c r="C749" s="24"/>
      <c r="D749" s="24"/>
      <c r="E749" s="24"/>
      <c r="F749" s="24"/>
      <c r="G749" s="24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 spans="1:26" ht="15.75" customHeight="1" x14ac:dyDescent="0.25">
      <c r="A750" s="24"/>
      <c r="B750" s="24"/>
      <c r="C750" s="24"/>
      <c r="D750" s="24"/>
      <c r="E750" s="24"/>
      <c r="F750" s="24"/>
      <c r="G750" s="24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 spans="1:26" ht="15.75" customHeight="1" x14ac:dyDescent="0.25">
      <c r="A751" s="24"/>
      <c r="B751" s="24"/>
      <c r="C751" s="24"/>
      <c r="D751" s="24"/>
      <c r="E751" s="24"/>
      <c r="F751" s="24"/>
      <c r="G751" s="24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 spans="1:26" ht="15.75" customHeight="1" x14ac:dyDescent="0.25">
      <c r="A752" s="24"/>
      <c r="B752" s="24"/>
      <c r="C752" s="24"/>
      <c r="D752" s="24"/>
      <c r="E752" s="24"/>
      <c r="F752" s="24"/>
      <c r="G752" s="24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 spans="1:26" ht="15.75" customHeight="1" x14ac:dyDescent="0.25">
      <c r="A753" s="24"/>
      <c r="B753" s="24"/>
      <c r="C753" s="24"/>
      <c r="D753" s="24"/>
      <c r="E753" s="24"/>
      <c r="F753" s="24"/>
      <c r="G753" s="24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 spans="1:26" ht="15.75" customHeight="1" x14ac:dyDescent="0.25">
      <c r="A754" s="24"/>
      <c r="B754" s="24"/>
      <c r="C754" s="24"/>
      <c r="D754" s="24"/>
      <c r="E754" s="24"/>
      <c r="F754" s="24"/>
      <c r="G754" s="24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 spans="1:26" ht="15.75" customHeight="1" x14ac:dyDescent="0.25">
      <c r="A755" s="24"/>
      <c r="B755" s="24"/>
      <c r="C755" s="24"/>
      <c r="D755" s="24"/>
      <c r="E755" s="24"/>
      <c r="F755" s="24"/>
      <c r="G755" s="24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 spans="1:26" ht="15.75" customHeight="1" x14ac:dyDescent="0.25">
      <c r="A756" s="24"/>
      <c r="B756" s="24"/>
      <c r="C756" s="24"/>
      <c r="D756" s="24"/>
      <c r="E756" s="24"/>
      <c r="F756" s="24"/>
      <c r="G756" s="24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 spans="1:26" ht="15.75" customHeight="1" x14ac:dyDescent="0.25">
      <c r="A757" s="24"/>
      <c r="B757" s="24"/>
      <c r="C757" s="24"/>
      <c r="D757" s="24"/>
      <c r="E757" s="24"/>
      <c r="F757" s="24"/>
      <c r="G757" s="24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 spans="1:26" ht="15.75" customHeight="1" x14ac:dyDescent="0.25">
      <c r="A758" s="24"/>
      <c r="B758" s="24"/>
      <c r="C758" s="24"/>
      <c r="D758" s="24"/>
      <c r="E758" s="24"/>
      <c r="F758" s="24"/>
      <c r="G758" s="24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 spans="1:26" ht="15.75" customHeight="1" x14ac:dyDescent="0.25">
      <c r="A759" s="24"/>
      <c r="B759" s="24"/>
      <c r="C759" s="24"/>
      <c r="D759" s="24"/>
      <c r="E759" s="24"/>
      <c r="F759" s="24"/>
      <c r="G759" s="24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 spans="1:26" ht="15.75" customHeight="1" x14ac:dyDescent="0.25">
      <c r="A760" s="24"/>
      <c r="B760" s="24"/>
      <c r="C760" s="24"/>
      <c r="D760" s="24"/>
      <c r="E760" s="24"/>
      <c r="F760" s="24"/>
      <c r="G760" s="24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 spans="1:26" ht="15.75" customHeight="1" x14ac:dyDescent="0.25">
      <c r="A761" s="24"/>
      <c r="B761" s="24"/>
      <c r="C761" s="24"/>
      <c r="D761" s="24"/>
      <c r="E761" s="24"/>
      <c r="F761" s="24"/>
      <c r="G761" s="24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 spans="1:26" ht="15.75" customHeight="1" x14ac:dyDescent="0.25">
      <c r="A762" s="24"/>
      <c r="B762" s="24"/>
      <c r="C762" s="24"/>
      <c r="D762" s="24"/>
      <c r="E762" s="24"/>
      <c r="F762" s="24"/>
      <c r="G762" s="24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 spans="1:26" ht="15.75" customHeight="1" x14ac:dyDescent="0.25">
      <c r="A763" s="24"/>
      <c r="B763" s="24"/>
      <c r="C763" s="24"/>
      <c r="D763" s="24"/>
      <c r="E763" s="24"/>
      <c r="F763" s="24"/>
      <c r="G763" s="24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 spans="1:26" ht="15.75" customHeight="1" x14ac:dyDescent="0.25">
      <c r="A764" s="24"/>
      <c r="B764" s="24"/>
      <c r="C764" s="24"/>
      <c r="D764" s="24"/>
      <c r="E764" s="24"/>
      <c r="F764" s="24"/>
      <c r="G764" s="24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 spans="1:26" ht="15.75" customHeight="1" x14ac:dyDescent="0.25">
      <c r="A765" s="24"/>
      <c r="B765" s="24"/>
      <c r="C765" s="24"/>
      <c r="D765" s="24"/>
      <c r="E765" s="24"/>
      <c r="F765" s="24"/>
      <c r="G765" s="24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 spans="1:26" ht="15.75" customHeight="1" x14ac:dyDescent="0.25">
      <c r="A766" s="24"/>
      <c r="B766" s="24"/>
      <c r="C766" s="24"/>
      <c r="D766" s="24"/>
      <c r="E766" s="24"/>
      <c r="F766" s="24"/>
      <c r="G766" s="24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 spans="1:26" ht="15.75" customHeight="1" x14ac:dyDescent="0.25">
      <c r="A767" s="24"/>
      <c r="B767" s="24"/>
      <c r="C767" s="24"/>
      <c r="D767" s="24"/>
      <c r="E767" s="24"/>
      <c r="F767" s="24"/>
      <c r="G767" s="24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 spans="1:26" ht="15.75" customHeight="1" x14ac:dyDescent="0.25">
      <c r="A768" s="24"/>
      <c r="B768" s="24"/>
      <c r="C768" s="24"/>
      <c r="D768" s="24"/>
      <c r="E768" s="24"/>
      <c r="F768" s="24"/>
      <c r="G768" s="24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 spans="1:26" ht="15.75" customHeight="1" x14ac:dyDescent="0.25">
      <c r="A769" s="24"/>
      <c r="B769" s="24"/>
      <c r="C769" s="24"/>
      <c r="D769" s="24"/>
      <c r="E769" s="24"/>
      <c r="F769" s="24"/>
      <c r="G769" s="24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 spans="1:26" ht="15.75" customHeight="1" x14ac:dyDescent="0.25">
      <c r="A770" s="24"/>
      <c r="B770" s="24"/>
      <c r="C770" s="24"/>
      <c r="D770" s="24"/>
      <c r="E770" s="24"/>
      <c r="F770" s="24"/>
      <c r="G770" s="24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 spans="1:26" ht="15.75" customHeight="1" x14ac:dyDescent="0.25">
      <c r="A771" s="24"/>
      <c r="B771" s="24"/>
      <c r="C771" s="24"/>
      <c r="D771" s="24"/>
      <c r="E771" s="24"/>
      <c r="F771" s="24"/>
      <c r="G771" s="24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 spans="1:26" ht="15.75" customHeight="1" x14ac:dyDescent="0.25">
      <c r="A772" s="24"/>
      <c r="B772" s="24"/>
      <c r="C772" s="24"/>
      <c r="D772" s="24"/>
      <c r="E772" s="24"/>
      <c r="F772" s="24"/>
      <c r="G772" s="24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 spans="1:26" ht="15.75" customHeight="1" x14ac:dyDescent="0.25">
      <c r="A773" s="24"/>
      <c r="B773" s="24"/>
      <c r="C773" s="24"/>
      <c r="D773" s="24"/>
      <c r="E773" s="24"/>
      <c r="F773" s="24"/>
      <c r="G773" s="24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 spans="1:26" ht="15.75" customHeight="1" x14ac:dyDescent="0.25">
      <c r="A774" s="24"/>
      <c r="B774" s="24"/>
      <c r="C774" s="24"/>
      <c r="D774" s="24"/>
      <c r="E774" s="24"/>
      <c r="F774" s="24"/>
      <c r="G774" s="24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 spans="1:26" ht="15.75" customHeight="1" x14ac:dyDescent="0.25">
      <c r="A775" s="24"/>
      <c r="B775" s="24"/>
      <c r="C775" s="24"/>
      <c r="D775" s="24"/>
      <c r="E775" s="24"/>
      <c r="F775" s="24"/>
      <c r="G775" s="24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 spans="1:26" ht="15.75" customHeight="1" x14ac:dyDescent="0.25">
      <c r="A776" s="24"/>
      <c r="B776" s="24"/>
      <c r="C776" s="24"/>
      <c r="D776" s="24"/>
      <c r="E776" s="24"/>
      <c r="F776" s="24"/>
      <c r="G776" s="24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 spans="1:26" ht="15.75" customHeight="1" x14ac:dyDescent="0.25">
      <c r="A777" s="24"/>
      <c r="B777" s="24"/>
      <c r="C777" s="24"/>
      <c r="D777" s="24"/>
      <c r="E777" s="24"/>
      <c r="F777" s="24"/>
      <c r="G777" s="24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 spans="1:26" ht="15.75" customHeight="1" x14ac:dyDescent="0.25">
      <c r="A778" s="24"/>
      <c r="B778" s="24"/>
      <c r="C778" s="24"/>
      <c r="D778" s="24"/>
      <c r="E778" s="24"/>
      <c r="F778" s="24"/>
      <c r="G778" s="24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 spans="1:26" ht="15.75" customHeight="1" x14ac:dyDescent="0.25">
      <c r="A779" s="24"/>
      <c r="B779" s="24"/>
      <c r="C779" s="24"/>
      <c r="D779" s="24"/>
      <c r="E779" s="24"/>
      <c r="F779" s="24"/>
      <c r="G779" s="24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 spans="1:26" ht="15.75" customHeight="1" x14ac:dyDescent="0.25">
      <c r="A780" s="24"/>
      <c r="B780" s="24"/>
      <c r="C780" s="24"/>
      <c r="D780" s="24"/>
      <c r="E780" s="24"/>
      <c r="F780" s="24"/>
      <c r="G780" s="24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 spans="1:26" ht="15.75" customHeight="1" x14ac:dyDescent="0.25">
      <c r="A781" s="24"/>
      <c r="B781" s="24"/>
      <c r="C781" s="24"/>
      <c r="D781" s="24"/>
      <c r="E781" s="24"/>
      <c r="F781" s="24"/>
      <c r="G781" s="24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 spans="1:26" ht="15.75" customHeight="1" x14ac:dyDescent="0.25">
      <c r="A782" s="24"/>
      <c r="B782" s="24"/>
      <c r="C782" s="24"/>
      <c r="D782" s="24"/>
      <c r="E782" s="24"/>
      <c r="F782" s="24"/>
      <c r="G782" s="24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 spans="1:26" ht="15.75" customHeight="1" x14ac:dyDescent="0.25">
      <c r="A783" s="24"/>
      <c r="B783" s="24"/>
      <c r="C783" s="24"/>
      <c r="D783" s="24"/>
      <c r="E783" s="24"/>
      <c r="F783" s="24"/>
      <c r="G783" s="24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 spans="1:26" ht="15.75" customHeight="1" x14ac:dyDescent="0.25">
      <c r="A784" s="24"/>
      <c r="B784" s="24"/>
      <c r="C784" s="24"/>
      <c r="D784" s="24"/>
      <c r="E784" s="24"/>
      <c r="F784" s="24"/>
      <c r="G784" s="24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 spans="1:26" ht="15.75" customHeight="1" x14ac:dyDescent="0.25">
      <c r="A785" s="24"/>
      <c r="B785" s="24"/>
      <c r="C785" s="24"/>
      <c r="D785" s="24"/>
      <c r="E785" s="24"/>
      <c r="F785" s="24"/>
      <c r="G785" s="24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 spans="1:26" ht="15.75" customHeight="1" x14ac:dyDescent="0.25">
      <c r="A786" s="24"/>
      <c r="B786" s="24"/>
      <c r="C786" s="24"/>
      <c r="D786" s="24"/>
      <c r="E786" s="24"/>
      <c r="F786" s="24"/>
      <c r="G786" s="24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 spans="1:26" ht="15.75" customHeight="1" x14ac:dyDescent="0.25">
      <c r="A787" s="24"/>
      <c r="B787" s="24"/>
      <c r="C787" s="24"/>
      <c r="D787" s="24"/>
      <c r="E787" s="24"/>
      <c r="F787" s="24"/>
      <c r="G787" s="24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 spans="1:26" ht="15.75" customHeight="1" x14ac:dyDescent="0.25">
      <c r="A788" s="24"/>
      <c r="B788" s="24"/>
      <c r="C788" s="24"/>
      <c r="D788" s="24"/>
      <c r="E788" s="24"/>
      <c r="F788" s="24"/>
      <c r="G788" s="24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 spans="1:26" ht="15.75" customHeight="1" x14ac:dyDescent="0.25">
      <c r="A789" s="24"/>
      <c r="B789" s="24"/>
      <c r="C789" s="24"/>
      <c r="D789" s="24"/>
      <c r="E789" s="24"/>
      <c r="F789" s="24"/>
      <c r="G789" s="24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 spans="1:26" ht="15.75" customHeight="1" x14ac:dyDescent="0.25">
      <c r="A790" s="24"/>
      <c r="B790" s="24"/>
      <c r="C790" s="24"/>
      <c r="D790" s="24"/>
      <c r="E790" s="24"/>
      <c r="F790" s="24"/>
      <c r="G790" s="24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 spans="1:26" ht="15.75" customHeight="1" x14ac:dyDescent="0.25">
      <c r="A791" s="24"/>
      <c r="B791" s="24"/>
      <c r="C791" s="24"/>
      <c r="D791" s="24"/>
      <c r="E791" s="24"/>
      <c r="F791" s="24"/>
      <c r="G791" s="24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 spans="1:26" ht="15.75" customHeight="1" x14ac:dyDescent="0.25">
      <c r="A792" s="24"/>
      <c r="B792" s="24"/>
      <c r="C792" s="24"/>
      <c r="D792" s="24"/>
      <c r="E792" s="24"/>
      <c r="F792" s="24"/>
      <c r="G792" s="24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 spans="1:26" ht="15.75" customHeight="1" x14ac:dyDescent="0.25">
      <c r="A793" s="24"/>
      <c r="B793" s="24"/>
      <c r="C793" s="24"/>
      <c r="D793" s="24"/>
      <c r="E793" s="24"/>
      <c r="F793" s="24"/>
      <c r="G793" s="24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 spans="1:26" ht="15.75" customHeight="1" x14ac:dyDescent="0.25">
      <c r="A794" s="24"/>
      <c r="B794" s="24"/>
      <c r="C794" s="24"/>
      <c r="D794" s="24"/>
      <c r="E794" s="24"/>
      <c r="F794" s="24"/>
      <c r="G794" s="24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 spans="1:26" ht="15.75" customHeight="1" x14ac:dyDescent="0.25">
      <c r="A795" s="24"/>
      <c r="B795" s="24"/>
      <c r="C795" s="24"/>
      <c r="D795" s="24"/>
      <c r="E795" s="24"/>
      <c r="F795" s="24"/>
      <c r="G795" s="24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 spans="1:26" ht="15.75" customHeight="1" x14ac:dyDescent="0.25">
      <c r="A796" s="24"/>
      <c r="B796" s="24"/>
      <c r="C796" s="24"/>
      <c r="D796" s="24"/>
      <c r="E796" s="24"/>
      <c r="F796" s="24"/>
      <c r="G796" s="24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 spans="1:26" ht="15.75" customHeight="1" x14ac:dyDescent="0.25">
      <c r="A797" s="24"/>
      <c r="B797" s="24"/>
      <c r="C797" s="24"/>
      <c r="D797" s="24"/>
      <c r="E797" s="24"/>
      <c r="F797" s="24"/>
      <c r="G797" s="24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 spans="1:26" ht="15.75" customHeight="1" x14ac:dyDescent="0.25">
      <c r="A798" s="24"/>
      <c r="B798" s="24"/>
      <c r="C798" s="24"/>
      <c r="D798" s="24"/>
      <c r="E798" s="24"/>
      <c r="F798" s="24"/>
      <c r="G798" s="24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 spans="1:26" ht="15.75" customHeight="1" x14ac:dyDescent="0.25">
      <c r="A799" s="24"/>
      <c r="B799" s="24"/>
      <c r="C799" s="24"/>
      <c r="D799" s="24"/>
      <c r="E799" s="24"/>
      <c r="F799" s="24"/>
      <c r="G799" s="24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 spans="1:26" ht="15.75" customHeight="1" x14ac:dyDescent="0.25">
      <c r="A800" s="24"/>
      <c r="B800" s="24"/>
      <c r="C800" s="24"/>
      <c r="D800" s="24"/>
      <c r="E800" s="24"/>
      <c r="F800" s="24"/>
      <c r="G800" s="24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 spans="1:26" ht="15.75" customHeight="1" x14ac:dyDescent="0.25">
      <c r="A801" s="24"/>
      <c r="B801" s="24"/>
      <c r="C801" s="24"/>
      <c r="D801" s="24"/>
      <c r="E801" s="24"/>
      <c r="F801" s="24"/>
      <c r="G801" s="24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 spans="1:26" ht="15.75" customHeight="1" x14ac:dyDescent="0.25">
      <c r="A802" s="24"/>
      <c r="B802" s="24"/>
      <c r="C802" s="24"/>
      <c r="D802" s="24"/>
      <c r="E802" s="24"/>
      <c r="F802" s="24"/>
      <c r="G802" s="24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 spans="1:26" ht="15.75" customHeight="1" x14ac:dyDescent="0.25">
      <c r="A803" s="24"/>
      <c r="B803" s="24"/>
      <c r="C803" s="24"/>
      <c r="D803" s="24"/>
      <c r="E803" s="24"/>
      <c r="F803" s="24"/>
      <c r="G803" s="24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 spans="1:26" ht="15.75" customHeight="1" x14ac:dyDescent="0.25">
      <c r="A804" s="24"/>
      <c r="B804" s="24"/>
      <c r="C804" s="24"/>
      <c r="D804" s="24"/>
      <c r="E804" s="24"/>
      <c r="F804" s="24"/>
      <c r="G804" s="24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 spans="1:26" ht="15.75" customHeight="1" x14ac:dyDescent="0.25">
      <c r="A805" s="24"/>
      <c r="B805" s="24"/>
      <c r="C805" s="24"/>
      <c r="D805" s="24"/>
      <c r="E805" s="24"/>
      <c r="F805" s="24"/>
      <c r="G805" s="24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 spans="1:26" ht="15.75" customHeight="1" x14ac:dyDescent="0.25">
      <c r="A806" s="24"/>
      <c r="B806" s="24"/>
      <c r="C806" s="24"/>
      <c r="D806" s="24"/>
      <c r="E806" s="24"/>
      <c r="F806" s="24"/>
      <c r="G806" s="24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 spans="1:26" ht="15.75" customHeight="1" x14ac:dyDescent="0.25">
      <c r="A807" s="24"/>
      <c r="B807" s="24"/>
      <c r="C807" s="24"/>
      <c r="D807" s="24"/>
      <c r="E807" s="24"/>
      <c r="F807" s="24"/>
      <c r="G807" s="24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 spans="1:26" ht="15.75" customHeight="1" x14ac:dyDescent="0.25">
      <c r="A808" s="24"/>
      <c r="B808" s="24"/>
      <c r="C808" s="24"/>
      <c r="D808" s="24"/>
      <c r="E808" s="24"/>
      <c r="F808" s="24"/>
      <c r="G808" s="24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 spans="1:26" ht="15.75" customHeight="1" x14ac:dyDescent="0.25">
      <c r="A809" s="24"/>
      <c r="B809" s="24"/>
      <c r="C809" s="24"/>
      <c r="D809" s="24"/>
      <c r="E809" s="24"/>
      <c r="F809" s="24"/>
      <c r="G809" s="24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 spans="1:26" ht="15.75" customHeight="1" x14ac:dyDescent="0.25">
      <c r="A810" s="24"/>
      <c r="B810" s="24"/>
      <c r="C810" s="24"/>
      <c r="D810" s="24"/>
      <c r="E810" s="24"/>
      <c r="F810" s="24"/>
      <c r="G810" s="24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 spans="1:26" ht="15.75" customHeight="1" x14ac:dyDescent="0.25">
      <c r="A811" s="24"/>
      <c r="B811" s="24"/>
      <c r="C811" s="24"/>
      <c r="D811" s="24"/>
      <c r="E811" s="24"/>
      <c r="F811" s="24"/>
      <c r="G811" s="24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 spans="1:26" ht="15.75" customHeight="1" x14ac:dyDescent="0.25">
      <c r="A812" s="24"/>
      <c r="B812" s="24"/>
      <c r="C812" s="24"/>
      <c r="D812" s="24"/>
      <c r="E812" s="24"/>
      <c r="F812" s="24"/>
      <c r="G812" s="24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 spans="1:26" ht="15.75" customHeight="1" x14ac:dyDescent="0.25">
      <c r="A813" s="24"/>
      <c r="B813" s="24"/>
      <c r="C813" s="24"/>
      <c r="D813" s="24"/>
      <c r="E813" s="24"/>
      <c r="F813" s="24"/>
      <c r="G813" s="24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 spans="1:26" ht="15.75" customHeight="1" x14ac:dyDescent="0.25">
      <c r="A814" s="24"/>
      <c r="B814" s="24"/>
      <c r="C814" s="24"/>
      <c r="D814" s="24"/>
      <c r="E814" s="24"/>
      <c r="F814" s="24"/>
      <c r="G814" s="24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 spans="1:26" ht="15.75" customHeight="1" x14ac:dyDescent="0.25">
      <c r="A815" s="24"/>
      <c r="B815" s="24"/>
      <c r="C815" s="24"/>
      <c r="D815" s="24"/>
      <c r="E815" s="24"/>
      <c r="F815" s="24"/>
      <c r="G815" s="24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 spans="1:26" ht="15.75" customHeight="1" x14ac:dyDescent="0.25">
      <c r="A816" s="24"/>
      <c r="B816" s="24"/>
      <c r="C816" s="24"/>
      <c r="D816" s="24"/>
      <c r="E816" s="24"/>
      <c r="F816" s="24"/>
      <c r="G816" s="24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 spans="1:26" ht="15.75" customHeight="1" x14ac:dyDescent="0.25">
      <c r="A817" s="24"/>
      <c r="B817" s="24"/>
      <c r="C817" s="24"/>
      <c r="D817" s="24"/>
      <c r="E817" s="24"/>
      <c r="F817" s="24"/>
      <c r="G817" s="24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 spans="1:26" ht="15.75" customHeight="1" x14ac:dyDescent="0.25">
      <c r="A818" s="24"/>
      <c r="B818" s="24"/>
      <c r="C818" s="24"/>
      <c r="D818" s="24"/>
      <c r="E818" s="24"/>
      <c r="F818" s="24"/>
      <c r="G818" s="24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 spans="1:26" ht="15.75" customHeight="1" x14ac:dyDescent="0.25">
      <c r="A819" s="24"/>
      <c r="B819" s="24"/>
      <c r="C819" s="24"/>
      <c r="D819" s="24"/>
      <c r="E819" s="24"/>
      <c r="F819" s="24"/>
      <c r="G819" s="24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 spans="1:26" ht="15.75" customHeight="1" x14ac:dyDescent="0.25">
      <c r="A820" s="24"/>
      <c r="B820" s="24"/>
      <c r="C820" s="24"/>
      <c r="D820" s="24"/>
      <c r="E820" s="24"/>
      <c r="F820" s="24"/>
      <c r="G820" s="24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 spans="1:26" ht="15.75" customHeight="1" x14ac:dyDescent="0.25">
      <c r="A821" s="24"/>
      <c r="B821" s="24"/>
      <c r="C821" s="24"/>
      <c r="D821" s="24"/>
      <c r="E821" s="24"/>
      <c r="F821" s="24"/>
      <c r="G821" s="24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 spans="1:26" ht="15.75" customHeight="1" x14ac:dyDescent="0.25">
      <c r="A822" s="24"/>
      <c r="B822" s="24"/>
      <c r="C822" s="24"/>
      <c r="D822" s="24"/>
      <c r="E822" s="24"/>
      <c r="F822" s="24"/>
      <c r="G822" s="24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 spans="1:26" ht="15.75" customHeight="1" x14ac:dyDescent="0.25">
      <c r="A823" s="24"/>
      <c r="B823" s="24"/>
      <c r="C823" s="24"/>
      <c r="D823" s="24"/>
      <c r="E823" s="24"/>
      <c r="F823" s="24"/>
      <c r="G823" s="24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 spans="1:26" ht="15.75" customHeight="1" x14ac:dyDescent="0.25">
      <c r="A824" s="24"/>
      <c r="B824" s="24"/>
      <c r="C824" s="24"/>
      <c r="D824" s="24"/>
      <c r="E824" s="24"/>
      <c r="F824" s="24"/>
      <c r="G824" s="24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 spans="1:26" ht="15.75" customHeight="1" x14ac:dyDescent="0.25">
      <c r="A825" s="24"/>
      <c r="B825" s="24"/>
      <c r="C825" s="24"/>
      <c r="D825" s="24"/>
      <c r="E825" s="24"/>
      <c r="F825" s="24"/>
      <c r="G825" s="24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 spans="1:26" ht="15.75" customHeight="1" x14ac:dyDescent="0.25">
      <c r="A826" s="24"/>
      <c r="B826" s="24"/>
      <c r="C826" s="24"/>
      <c r="D826" s="24"/>
      <c r="E826" s="24"/>
      <c r="F826" s="24"/>
      <c r="G826" s="24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 spans="1:26" ht="15.75" customHeight="1" x14ac:dyDescent="0.25">
      <c r="A827" s="24"/>
      <c r="B827" s="24"/>
      <c r="C827" s="24"/>
      <c r="D827" s="24"/>
      <c r="E827" s="24"/>
      <c r="F827" s="24"/>
      <c r="G827" s="24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 spans="1:26" ht="15.75" customHeight="1" x14ac:dyDescent="0.25">
      <c r="A828" s="24"/>
      <c r="B828" s="24"/>
      <c r="C828" s="24"/>
      <c r="D828" s="24"/>
      <c r="E828" s="24"/>
      <c r="F828" s="24"/>
      <c r="G828" s="24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 spans="1:26" ht="15.75" customHeight="1" x14ac:dyDescent="0.25">
      <c r="A829" s="24"/>
      <c r="B829" s="24"/>
      <c r="C829" s="24"/>
      <c r="D829" s="24"/>
      <c r="E829" s="24"/>
      <c r="F829" s="24"/>
      <c r="G829" s="24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 spans="1:26" ht="15.75" customHeight="1" x14ac:dyDescent="0.25">
      <c r="A830" s="24"/>
      <c r="B830" s="24"/>
      <c r="C830" s="24"/>
      <c r="D830" s="24"/>
      <c r="E830" s="24"/>
      <c r="F830" s="24"/>
      <c r="G830" s="24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 spans="1:26" ht="15.75" customHeight="1" x14ac:dyDescent="0.25">
      <c r="A831" s="24"/>
      <c r="B831" s="24"/>
      <c r="C831" s="24"/>
      <c r="D831" s="24"/>
      <c r="E831" s="24"/>
      <c r="F831" s="24"/>
      <c r="G831" s="24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 spans="1:26" ht="15.75" customHeight="1" x14ac:dyDescent="0.25">
      <c r="A832" s="24"/>
      <c r="B832" s="24"/>
      <c r="C832" s="24"/>
      <c r="D832" s="24"/>
      <c r="E832" s="24"/>
      <c r="F832" s="24"/>
      <c r="G832" s="24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 spans="1:26" ht="15.75" customHeight="1" x14ac:dyDescent="0.25">
      <c r="A833" s="24"/>
      <c r="B833" s="24"/>
      <c r="C833" s="24"/>
      <c r="D833" s="24"/>
      <c r="E833" s="24"/>
      <c r="F833" s="24"/>
      <c r="G833" s="24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 spans="1:26" ht="15.75" customHeight="1" x14ac:dyDescent="0.25">
      <c r="A834" s="24"/>
      <c r="B834" s="24"/>
      <c r="C834" s="24"/>
      <c r="D834" s="24"/>
      <c r="E834" s="24"/>
      <c r="F834" s="24"/>
      <c r="G834" s="24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 spans="1:26" ht="15.75" customHeight="1" x14ac:dyDescent="0.25">
      <c r="A835" s="24"/>
      <c r="B835" s="24"/>
      <c r="C835" s="24"/>
      <c r="D835" s="24"/>
      <c r="E835" s="24"/>
      <c r="F835" s="24"/>
      <c r="G835" s="24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 spans="1:26" ht="15.75" customHeight="1" x14ac:dyDescent="0.25">
      <c r="A836" s="24"/>
      <c r="B836" s="24"/>
      <c r="C836" s="24"/>
      <c r="D836" s="24"/>
      <c r="E836" s="24"/>
      <c r="F836" s="24"/>
      <c r="G836" s="24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 spans="1:26" ht="15.75" customHeight="1" x14ac:dyDescent="0.25">
      <c r="A837" s="24"/>
      <c r="B837" s="24"/>
      <c r="C837" s="24"/>
      <c r="D837" s="24"/>
      <c r="E837" s="24"/>
      <c r="F837" s="24"/>
      <c r="G837" s="24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 spans="1:26" ht="15.75" customHeight="1" x14ac:dyDescent="0.25">
      <c r="A838" s="24"/>
      <c r="B838" s="24"/>
      <c r="C838" s="24"/>
      <c r="D838" s="24"/>
      <c r="E838" s="24"/>
      <c r="F838" s="24"/>
      <c r="G838" s="24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 spans="1:26" ht="15.75" customHeight="1" x14ac:dyDescent="0.25">
      <c r="A839" s="24"/>
      <c r="B839" s="24"/>
      <c r="C839" s="24"/>
      <c r="D839" s="24"/>
      <c r="E839" s="24"/>
      <c r="F839" s="24"/>
      <c r="G839" s="24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 spans="1:26" ht="15.75" customHeight="1" x14ac:dyDescent="0.25">
      <c r="A840" s="24"/>
      <c r="B840" s="24"/>
      <c r="C840" s="24"/>
      <c r="D840" s="24"/>
      <c r="E840" s="24"/>
      <c r="F840" s="24"/>
      <c r="G840" s="24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 spans="1:26" ht="15.75" customHeight="1" x14ac:dyDescent="0.25">
      <c r="A841" s="24"/>
      <c r="B841" s="24"/>
      <c r="C841" s="24"/>
      <c r="D841" s="24"/>
      <c r="E841" s="24"/>
      <c r="F841" s="24"/>
      <c r="G841" s="24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 spans="1:26" ht="15.75" customHeight="1" x14ac:dyDescent="0.25">
      <c r="A842" s="24"/>
      <c r="B842" s="24"/>
      <c r="C842" s="24"/>
      <c r="D842" s="24"/>
      <c r="E842" s="24"/>
      <c r="F842" s="24"/>
      <c r="G842" s="24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 spans="1:26" ht="15.75" customHeight="1" x14ac:dyDescent="0.25">
      <c r="A843" s="24"/>
      <c r="B843" s="24"/>
      <c r="C843" s="24"/>
      <c r="D843" s="24"/>
      <c r="E843" s="24"/>
      <c r="F843" s="24"/>
      <c r="G843" s="24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 spans="1:26" ht="15.75" customHeight="1" x14ac:dyDescent="0.25">
      <c r="A844" s="24"/>
      <c r="B844" s="24"/>
      <c r="C844" s="24"/>
      <c r="D844" s="24"/>
      <c r="E844" s="24"/>
      <c r="F844" s="24"/>
      <c r="G844" s="24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 spans="1:26" ht="15.75" customHeight="1" x14ac:dyDescent="0.25">
      <c r="A845" s="24"/>
      <c r="B845" s="24"/>
      <c r="C845" s="24"/>
      <c r="D845" s="24"/>
      <c r="E845" s="24"/>
      <c r="F845" s="24"/>
      <c r="G845" s="24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 spans="1:26" ht="15.75" customHeight="1" x14ac:dyDescent="0.25">
      <c r="A846" s="24"/>
      <c r="B846" s="24"/>
      <c r="C846" s="24"/>
      <c r="D846" s="24"/>
      <c r="E846" s="24"/>
      <c r="F846" s="24"/>
      <c r="G846" s="24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 spans="1:26" ht="15.75" customHeight="1" x14ac:dyDescent="0.25">
      <c r="A847" s="24"/>
      <c r="B847" s="24"/>
      <c r="C847" s="24"/>
      <c r="D847" s="24"/>
      <c r="E847" s="24"/>
      <c r="F847" s="24"/>
      <c r="G847" s="24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 spans="1:26" ht="15.75" customHeight="1" x14ac:dyDescent="0.25">
      <c r="A848" s="24"/>
      <c r="B848" s="24"/>
      <c r="C848" s="24"/>
      <c r="D848" s="24"/>
      <c r="E848" s="24"/>
      <c r="F848" s="24"/>
      <c r="G848" s="24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 spans="1:26" ht="15.75" customHeight="1" x14ac:dyDescent="0.25">
      <c r="A849" s="24"/>
      <c r="B849" s="24"/>
      <c r="C849" s="24"/>
      <c r="D849" s="24"/>
      <c r="E849" s="24"/>
      <c r="F849" s="24"/>
      <c r="G849" s="24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 spans="1:26" ht="15.75" customHeight="1" x14ac:dyDescent="0.25">
      <c r="A850" s="24"/>
      <c r="B850" s="24"/>
      <c r="C850" s="24"/>
      <c r="D850" s="24"/>
      <c r="E850" s="24"/>
      <c r="F850" s="24"/>
      <c r="G850" s="24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 spans="1:26" ht="15.75" customHeight="1" x14ac:dyDescent="0.25">
      <c r="A851" s="24"/>
      <c r="B851" s="24"/>
      <c r="C851" s="24"/>
      <c r="D851" s="24"/>
      <c r="E851" s="24"/>
      <c r="F851" s="24"/>
      <c r="G851" s="24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 spans="1:26" ht="15.75" customHeight="1" x14ac:dyDescent="0.25">
      <c r="A852" s="24"/>
      <c r="B852" s="24"/>
      <c r="C852" s="24"/>
      <c r="D852" s="24"/>
      <c r="E852" s="24"/>
      <c r="F852" s="24"/>
      <c r="G852" s="24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 spans="1:26" ht="15.75" customHeight="1" x14ac:dyDescent="0.25">
      <c r="A853" s="24"/>
      <c r="B853" s="24"/>
      <c r="C853" s="24"/>
      <c r="D853" s="24"/>
      <c r="E853" s="24"/>
      <c r="F853" s="24"/>
      <c r="G853" s="24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 spans="1:26" ht="15.75" customHeight="1" x14ac:dyDescent="0.25">
      <c r="A854" s="24"/>
      <c r="B854" s="24"/>
      <c r="C854" s="24"/>
      <c r="D854" s="24"/>
      <c r="E854" s="24"/>
      <c r="F854" s="24"/>
      <c r="G854" s="24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 spans="1:26" ht="15.75" customHeight="1" x14ac:dyDescent="0.25">
      <c r="A855" s="24"/>
      <c r="B855" s="24"/>
      <c r="C855" s="24"/>
      <c r="D855" s="24"/>
      <c r="E855" s="24"/>
      <c r="F855" s="24"/>
      <c r="G855" s="24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 spans="1:26" ht="15.75" customHeight="1" x14ac:dyDescent="0.25">
      <c r="A856" s="24"/>
      <c r="B856" s="24"/>
      <c r="C856" s="24"/>
      <c r="D856" s="24"/>
      <c r="E856" s="24"/>
      <c r="F856" s="24"/>
      <c r="G856" s="24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 spans="1:26" ht="15.75" customHeight="1" x14ac:dyDescent="0.25">
      <c r="A857" s="24"/>
      <c r="B857" s="24"/>
      <c r="C857" s="24"/>
      <c r="D857" s="24"/>
      <c r="E857" s="24"/>
      <c r="F857" s="24"/>
      <c r="G857" s="24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 spans="1:26" ht="15.75" customHeight="1" x14ac:dyDescent="0.25">
      <c r="A858" s="24"/>
      <c r="B858" s="24"/>
      <c r="C858" s="24"/>
      <c r="D858" s="24"/>
      <c r="E858" s="24"/>
      <c r="F858" s="24"/>
      <c r="G858" s="24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 spans="1:26" ht="15.75" customHeight="1" x14ac:dyDescent="0.25">
      <c r="A859" s="24"/>
      <c r="B859" s="24"/>
      <c r="C859" s="24"/>
      <c r="D859" s="24"/>
      <c r="E859" s="24"/>
      <c r="F859" s="24"/>
      <c r="G859" s="24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 spans="1:26" ht="15.75" customHeight="1" x14ac:dyDescent="0.25">
      <c r="A860" s="24"/>
      <c r="B860" s="24"/>
      <c r="C860" s="24"/>
      <c r="D860" s="24"/>
      <c r="E860" s="24"/>
      <c r="F860" s="24"/>
      <c r="G860" s="24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 spans="1:26" ht="15.75" customHeight="1" x14ac:dyDescent="0.25">
      <c r="A861" s="24"/>
      <c r="B861" s="24"/>
      <c r="C861" s="24"/>
      <c r="D861" s="24"/>
      <c r="E861" s="24"/>
      <c r="F861" s="24"/>
      <c r="G861" s="24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 spans="1:26" ht="15.75" customHeight="1" x14ac:dyDescent="0.25">
      <c r="A862" s="24"/>
      <c r="B862" s="24"/>
      <c r="C862" s="24"/>
      <c r="D862" s="24"/>
      <c r="E862" s="24"/>
      <c r="F862" s="24"/>
      <c r="G862" s="24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 spans="1:26" ht="15.75" customHeight="1" x14ac:dyDescent="0.25">
      <c r="A863" s="24"/>
      <c r="B863" s="24"/>
      <c r="C863" s="24"/>
      <c r="D863" s="24"/>
      <c r="E863" s="24"/>
      <c r="F863" s="24"/>
      <c r="G863" s="24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 spans="1:26" ht="15.75" customHeight="1" x14ac:dyDescent="0.25">
      <c r="A864" s="24"/>
      <c r="B864" s="24"/>
      <c r="C864" s="24"/>
      <c r="D864" s="24"/>
      <c r="E864" s="24"/>
      <c r="F864" s="24"/>
      <c r="G864" s="24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 spans="1:26" ht="15.75" customHeight="1" x14ac:dyDescent="0.25">
      <c r="A865" s="24"/>
      <c r="B865" s="24"/>
      <c r="C865" s="24"/>
      <c r="D865" s="24"/>
      <c r="E865" s="24"/>
      <c r="F865" s="24"/>
      <c r="G865" s="24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 spans="1:26" ht="15.75" customHeight="1" x14ac:dyDescent="0.25">
      <c r="A866" s="24"/>
      <c r="B866" s="24"/>
      <c r="C866" s="24"/>
      <c r="D866" s="24"/>
      <c r="E866" s="24"/>
      <c r="F866" s="24"/>
      <c r="G866" s="24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 spans="1:26" ht="15.75" customHeight="1" x14ac:dyDescent="0.25">
      <c r="A867" s="24"/>
      <c r="B867" s="24"/>
      <c r="C867" s="24"/>
      <c r="D867" s="24"/>
      <c r="E867" s="24"/>
      <c r="F867" s="24"/>
      <c r="G867" s="24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 spans="1:26" ht="15.75" customHeight="1" x14ac:dyDescent="0.25">
      <c r="A868" s="24"/>
      <c r="B868" s="24"/>
      <c r="C868" s="24"/>
      <c r="D868" s="24"/>
      <c r="E868" s="24"/>
      <c r="F868" s="24"/>
      <c r="G868" s="24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 spans="1:26" ht="15.75" customHeight="1" x14ac:dyDescent="0.25">
      <c r="A869" s="24"/>
      <c r="B869" s="24"/>
      <c r="C869" s="24"/>
      <c r="D869" s="24"/>
      <c r="E869" s="24"/>
      <c r="F869" s="24"/>
      <c r="G869" s="24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 spans="1:26" ht="15.75" customHeight="1" x14ac:dyDescent="0.25">
      <c r="A870" s="24"/>
      <c r="B870" s="24"/>
      <c r="C870" s="24"/>
      <c r="D870" s="24"/>
      <c r="E870" s="24"/>
      <c r="F870" s="24"/>
      <c r="G870" s="24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 spans="1:26" ht="15.75" customHeight="1" x14ac:dyDescent="0.25">
      <c r="A871" s="24"/>
      <c r="B871" s="24"/>
      <c r="C871" s="24"/>
      <c r="D871" s="24"/>
      <c r="E871" s="24"/>
      <c r="F871" s="24"/>
      <c r="G871" s="24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 spans="1:26" ht="15.75" customHeight="1" x14ac:dyDescent="0.25">
      <c r="A872" s="24"/>
      <c r="B872" s="24"/>
      <c r="C872" s="24"/>
      <c r="D872" s="24"/>
      <c r="E872" s="24"/>
      <c r="F872" s="24"/>
      <c r="G872" s="24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 spans="1:26" ht="15.75" customHeight="1" x14ac:dyDescent="0.25">
      <c r="A873" s="24"/>
      <c r="B873" s="24"/>
      <c r="C873" s="24"/>
      <c r="D873" s="24"/>
      <c r="E873" s="24"/>
      <c r="F873" s="24"/>
      <c r="G873" s="24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 spans="1:26" ht="15.75" customHeight="1" x14ac:dyDescent="0.25">
      <c r="A874" s="24"/>
      <c r="B874" s="24"/>
      <c r="C874" s="24"/>
      <c r="D874" s="24"/>
      <c r="E874" s="24"/>
      <c r="F874" s="24"/>
      <c r="G874" s="24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 spans="1:26" ht="15.75" customHeight="1" x14ac:dyDescent="0.25">
      <c r="A875" s="24"/>
      <c r="B875" s="24"/>
      <c r="C875" s="24"/>
      <c r="D875" s="24"/>
      <c r="E875" s="24"/>
      <c r="F875" s="24"/>
      <c r="G875" s="24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 spans="1:26" ht="15.75" customHeight="1" x14ac:dyDescent="0.25">
      <c r="A876" s="24"/>
      <c r="B876" s="24"/>
      <c r="C876" s="24"/>
      <c r="D876" s="24"/>
      <c r="E876" s="24"/>
      <c r="F876" s="24"/>
      <c r="G876" s="24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 spans="1:26" ht="15.75" customHeight="1" x14ac:dyDescent="0.25">
      <c r="A877" s="24"/>
      <c r="B877" s="24"/>
      <c r="C877" s="24"/>
      <c r="D877" s="24"/>
      <c r="E877" s="24"/>
      <c r="F877" s="24"/>
      <c r="G877" s="24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 spans="1:26" ht="15.75" customHeight="1" x14ac:dyDescent="0.25">
      <c r="A878" s="24"/>
      <c r="B878" s="24"/>
      <c r="C878" s="24"/>
      <c r="D878" s="24"/>
      <c r="E878" s="24"/>
      <c r="F878" s="24"/>
      <c r="G878" s="24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 spans="1:26" ht="15.75" customHeight="1" x14ac:dyDescent="0.25">
      <c r="A879" s="24"/>
      <c r="B879" s="24"/>
      <c r="C879" s="24"/>
      <c r="D879" s="24"/>
      <c r="E879" s="24"/>
      <c r="F879" s="24"/>
      <c r="G879" s="24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 spans="1:26" ht="15.75" customHeight="1" x14ac:dyDescent="0.25">
      <c r="A880" s="24"/>
      <c r="B880" s="24"/>
      <c r="C880" s="24"/>
      <c r="D880" s="24"/>
      <c r="E880" s="24"/>
      <c r="F880" s="24"/>
      <c r="G880" s="24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 spans="1:26" ht="15.75" customHeight="1" x14ac:dyDescent="0.25">
      <c r="A881" s="24"/>
      <c r="B881" s="24"/>
      <c r="C881" s="24"/>
      <c r="D881" s="24"/>
      <c r="E881" s="24"/>
      <c r="F881" s="24"/>
      <c r="G881" s="24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 spans="1:26" ht="15.75" customHeight="1" x14ac:dyDescent="0.25">
      <c r="A882" s="24"/>
      <c r="B882" s="24"/>
      <c r="C882" s="24"/>
      <c r="D882" s="24"/>
      <c r="E882" s="24"/>
      <c r="F882" s="24"/>
      <c r="G882" s="24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 spans="1:26" ht="15.75" customHeight="1" x14ac:dyDescent="0.25">
      <c r="A883" s="24"/>
      <c r="B883" s="24"/>
      <c r="C883" s="24"/>
      <c r="D883" s="24"/>
      <c r="E883" s="24"/>
      <c r="F883" s="24"/>
      <c r="G883" s="24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 spans="1:26" ht="15.75" customHeight="1" x14ac:dyDescent="0.25">
      <c r="A884" s="24"/>
      <c r="B884" s="24"/>
      <c r="C884" s="24"/>
      <c r="D884" s="24"/>
      <c r="E884" s="24"/>
      <c r="F884" s="24"/>
      <c r="G884" s="24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 spans="1:26" ht="15.75" customHeight="1" x14ac:dyDescent="0.25">
      <c r="A885" s="24"/>
      <c r="B885" s="24"/>
      <c r="C885" s="24"/>
      <c r="D885" s="24"/>
      <c r="E885" s="24"/>
      <c r="F885" s="24"/>
      <c r="G885" s="24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 spans="1:26" ht="15.75" customHeight="1" x14ac:dyDescent="0.25">
      <c r="A886" s="24"/>
      <c r="B886" s="24"/>
      <c r="C886" s="24"/>
      <c r="D886" s="24"/>
      <c r="E886" s="24"/>
      <c r="F886" s="24"/>
      <c r="G886" s="24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 spans="1:26" ht="15.75" customHeight="1" x14ac:dyDescent="0.25">
      <c r="A887" s="24"/>
      <c r="B887" s="24"/>
      <c r="C887" s="24"/>
      <c r="D887" s="24"/>
      <c r="E887" s="24"/>
      <c r="F887" s="24"/>
      <c r="G887" s="24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 spans="1:26" ht="15.75" customHeight="1" x14ac:dyDescent="0.25">
      <c r="A888" s="24"/>
      <c r="B888" s="24"/>
      <c r="C888" s="24"/>
      <c r="D888" s="24"/>
      <c r="E888" s="24"/>
      <c r="F888" s="24"/>
      <c r="G888" s="24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 spans="1:26" ht="15.75" customHeight="1" x14ac:dyDescent="0.25">
      <c r="A889" s="24"/>
      <c r="B889" s="24"/>
      <c r="C889" s="24"/>
      <c r="D889" s="24"/>
      <c r="E889" s="24"/>
      <c r="F889" s="24"/>
      <c r="G889" s="24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 spans="1:26" ht="15.75" customHeight="1" x14ac:dyDescent="0.25">
      <c r="A890" s="24"/>
      <c r="B890" s="24"/>
      <c r="C890" s="24"/>
      <c r="D890" s="24"/>
      <c r="E890" s="24"/>
      <c r="F890" s="24"/>
      <c r="G890" s="24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 spans="1:26" ht="15.75" customHeight="1" x14ac:dyDescent="0.25">
      <c r="A891" s="24"/>
      <c r="B891" s="24"/>
      <c r="C891" s="24"/>
      <c r="D891" s="24"/>
      <c r="E891" s="24"/>
      <c r="F891" s="24"/>
      <c r="G891" s="24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 spans="1:26" ht="15.75" customHeight="1" x14ac:dyDescent="0.25">
      <c r="A892" s="24"/>
      <c r="B892" s="24"/>
      <c r="C892" s="24"/>
      <c r="D892" s="24"/>
      <c r="E892" s="24"/>
      <c r="F892" s="24"/>
      <c r="G892" s="24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 spans="1:26" ht="15.75" customHeight="1" x14ac:dyDescent="0.25">
      <c r="A893" s="24"/>
      <c r="B893" s="24"/>
      <c r="C893" s="24"/>
      <c r="D893" s="24"/>
      <c r="E893" s="24"/>
      <c r="F893" s="24"/>
      <c r="G893" s="24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 spans="1:26" ht="15.75" customHeight="1" x14ac:dyDescent="0.25">
      <c r="A894" s="24"/>
      <c r="B894" s="24"/>
      <c r="C894" s="24"/>
      <c r="D894" s="24"/>
      <c r="E894" s="24"/>
      <c r="F894" s="24"/>
      <c r="G894" s="24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 spans="1:26" ht="15.75" customHeight="1" x14ac:dyDescent="0.25">
      <c r="A895" s="24"/>
      <c r="B895" s="24"/>
      <c r="C895" s="24"/>
      <c r="D895" s="24"/>
      <c r="E895" s="24"/>
      <c r="F895" s="24"/>
      <c r="G895" s="24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 spans="1:26" ht="15.75" customHeight="1" x14ac:dyDescent="0.25">
      <c r="A896" s="24"/>
      <c r="B896" s="24"/>
      <c r="C896" s="24"/>
      <c r="D896" s="24"/>
      <c r="E896" s="24"/>
      <c r="F896" s="24"/>
      <c r="G896" s="24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 spans="1:26" ht="15.75" customHeight="1" x14ac:dyDescent="0.25">
      <c r="A897" s="24"/>
      <c r="B897" s="24"/>
      <c r="C897" s="24"/>
      <c r="D897" s="24"/>
      <c r="E897" s="24"/>
      <c r="F897" s="24"/>
      <c r="G897" s="24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 spans="1:26" ht="15.75" customHeight="1" x14ac:dyDescent="0.25">
      <c r="A898" s="24"/>
      <c r="B898" s="24"/>
      <c r="C898" s="24"/>
      <c r="D898" s="24"/>
      <c r="E898" s="24"/>
      <c r="F898" s="24"/>
      <c r="G898" s="24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 spans="1:26" ht="15.75" customHeight="1" x14ac:dyDescent="0.25">
      <c r="A899" s="24"/>
      <c r="B899" s="24"/>
      <c r="C899" s="24"/>
      <c r="D899" s="24"/>
      <c r="E899" s="24"/>
      <c r="F899" s="24"/>
      <c r="G899" s="24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 spans="1:26" ht="15.75" customHeight="1" x14ac:dyDescent="0.25">
      <c r="A900" s="24"/>
      <c r="B900" s="24"/>
      <c r="C900" s="24"/>
      <c r="D900" s="24"/>
      <c r="E900" s="24"/>
      <c r="F900" s="24"/>
      <c r="G900" s="24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 spans="1:26" ht="15.75" customHeight="1" x14ac:dyDescent="0.25">
      <c r="A901" s="24"/>
      <c r="B901" s="24"/>
      <c r="C901" s="24"/>
      <c r="D901" s="24"/>
      <c r="E901" s="24"/>
      <c r="F901" s="24"/>
      <c r="G901" s="24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 spans="1:26" ht="15.75" customHeight="1" x14ac:dyDescent="0.25">
      <c r="A902" s="24"/>
      <c r="B902" s="24"/>
      <c r="C902" s="24"/>
      <c r="D902" s="24"/>
      <c r="E902" s="24"/>
      <c r="F902" s="24"/>
      <c r="G902" s="24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 spans="1:26" ht="15.75" customHeight="1" x14ac:dyDescent="0.25">
      <c r="A903" s="24"/>
      <c r="B903" s="24"/>
      <c r="C903" s="24"/>
      <c r="D903" s="24"/>
      <c r="E903" s="24"/>
      <c r="F903" s="24"/>
      <c r="G903" s="24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 spans="1:26" ht="15.75" customHeight="1" x14ac:dyDescent="0.25">
      <c r="A904" s="24"/>
      <c r="B904" s="24"/>
      <c r="C904" s="24"/>
      <c r="D904" s="24"/>
      <c r="E904" s="24"/>
      <c r="F904" s="24"/>
      <c r="G904" s="24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 spans="1:26" ht="15.75" customHeight="1" x14ac:dyDescent="0.25">
      <c r="A905" s="24"/>
      <c r="B905" s="24"/>
      <c r="C905" s="24"/>
      <c r="D905" s="24"/>
      <c r="E905" s="24"/>
      <c r="F905" s="24"/>
      <c r="G905" s="24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 spans="1:26" ht="15.75" customHeight="1" x14ac:dyDescent="0.25">
      <c r="A906" s="24"/>
      <c r="B906" s="24"/>
      <c r="C906" s="24"/>
      <c r="D906" s="24"/>
      <c r="E906" s="24"/>
      <c r="F906" s="24"/>
      <c r="G906" s="24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 spans="1:26" ht="15.75" customHeight="1" x14ac:dyDescent="0.25">
      <c r="A907" s="24"/>
      <c r="B907" s="24"/>
      <c r="C907" s="24"/>
      <c r="D907" s="24"/>
      <c r="E907" s="24"/>
      <c r="F907" s="24"/>
      <c r="G907" s="24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 spans="1:26" ht="15.75" customHeight="1" x14ac:dyDescent="0.25">
      <c r="A908" s="24"/>
      <c r="B908" s="24"/>
      <c r="C908" s="24"/>
      <c r="D908" s="24"/>
      <c r="E908" s="24"/>
      <c r="F908" s="24"/>
      <c r="G908" s="24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 spans="1:26" ht="15.75" customHeight="1" x14ac:dyDescent="0.25">
      <c r="A909" s="24"/>
      <c r="B909" s="24"/>
      <c r="C909" s="24"/>
      <c r="D909" s="24"/>
      <c r="E909" s="24"/>
      <c r="F909" s="24"/>
      <c r="G909" s="24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 spans="1:26" ht="15.75" customHeight="1" x14ac:dyDescent="0.25">
      <c r="A910" s="24"/>
      <c r="B910" s="24"/>
      <c r="C910" s="24"/>
      <c r="D910" s="24"/>
      <c r="E910" s="24"/>
      <c r="F910" s="24"/>
      <c r="G910" s="24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 spans="1:26" ht="15.75" customHeight="1" x14ac:dyDescent="0.25">
      <c r="A911" s="24"/>
      <c r="B911" s="24"/>
      <c r="C911" s="24"/>
      <c r="D911" s="24"/>
      <c r="E911" s="24"/>
      <c r="F911" s="24"/>
      <c r="G911" s="24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 spans="1:26" ht="15.75" customHeight="1" x14ac:dyDescent="0.25">
      <c r="A912" s="24"/>
      <c r="B912" s="24"/>
      <c r="C912" s="24"/>
      <c r="D912" s="24"/>
      <c r="E912" s="24"/>
      <c r="F912" s="24"/>
      <c r="G912" s="24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 spans="1:26" ht="15.75" customHeight="1" x14ac:dyDescent="0.25">
      <c r="A913" s="24"/>
      <c r="B913" s="24"/>
      <c r="C913" s="24"/>
      <c r="D913" s="24"/>
      <c r="E913" s="24"/>
      <c r="F913" s="24"/>
      <c r="G913" s="24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 spans="1:26" ht="15.75" customHeight="1" x14ac:dyDescent="0.25">
      <c r="A914" s="24"/>
      <c r="B914" s="24"/>
      <c r="C914" s="24"/>
      <c r="D914" s="24"/>
      <c r="E914" s="24"/>
      <c r="F914" s="24"/>
      <c r="G914" s="24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 spans="1:26" ht="15.75" customHeight="1" x14ac:dyDescent="0.25">
      <c r="A915" s="24"/>
      <c r="B915" s="24"/>
      <c r="C915" s="24"/>
      <c r="D915" s="24"/>
      <c r="E915" s="24"/>
      <c r="F915" s="24"/>
      <c r="G915" s="24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 spans="1:26" ht="15.75" customHeight="1" x14ac:dyDescent="0.25">
      <c r="A916" s="24"/>
      <c r="B916" s="24"/>
      <c r="C916" s="24"/>
      <c r="D916" s="24"/>
      <c r="E916" s="24"/>
      <c r="F916" s="24"/>
      <c r="G916" s="24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 spans="1:26" ht="15.75" customHeight="1" x14ac:dyDescent="0.25">
      <c r="A917" s="24"/>
      <c r="B917" s="24"/>
      <c r="C917" s="24"/>
      <c r="D917" s="24"/>
      <c r="E917" s="24"/>
      <c r="F917" s="24"/>
      <c r="G917" s="24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 spans="1:26" ht="15.75" customHeight="1" x14ac:dyDescent="0.25">
      <c r="A918" s="24"/>
      <c r="B918" s="24"/>
      <c r="C918" s="24"/>
      <c r="D918" s="24"/>
      <c r="E918" s="24"/>
      <c r="F918" s="24"/>
      <c r="G918" s="24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 spans="1:26" ht="15.75" customHeight="1" x14ac:dyDescent="0.25">
      <c r="A919" s="24"/>
      <c r="B919" s="24"/>
      <c r="C919" s="24"/>
      <c r="D919" s="24"/>
      <c r="E919" s="24"/>
      <c r="F919" s="24"/>
      <c r="G919" s="24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 spans="1:26" ht="15.75" customHeight="1" x14ac:dyDescent="0.25">
      <c r="A920" s="24"/>
      <c r="B920" s="24"/>
      <c r="C920" s="24"/>
      <c r="D920" s="24"/>
      <c r="E920" s="24"/>
      <c r="F920" s="24"/>
      <c r="G920" s="24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 spans="1:26" ht="15.75" customHeight="1" x14ac:dyDescent="0.25">
      <c r="A921" s="24"/>
      <c r="B921" s="24"/>
      <c r="C921" s="24"/>
      <c r="D921" s="24"/>
      <c r="E921" s="24"/>
      <c r="F921" s="24"/>
      <c r="G921" s="24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 spans="1:26" ht="15.75" customHeight="1" x14ac:dyDescent="0.25">
      <c r="A922" s="24"/>
      <c r="B922" s="24"/>
      <c r="C922" s="24"/>
      <c r="D922" s="24"/>
      <c r="E922" s="24"/>
      <c r="F922" s="24"/>
      <c r="G922" s="24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 spans="1:26" ht="15.75" customHeight="1" x14ac:dyDescent="0.25">
      <c r="A923" s="24"/>
      <c r="B923" s="24"/>
      <c r="C923" s="24"/>
      <c r="D923" s="24"/>
      <c r="E923" s="24"/>
      <c r="F923" s="24"/>
      <c r="G923" s="24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 spans="1:26" ht="15.75" customHeight="1" x14ac:dyDescent="0.25">
      <c r="A924" s="24"/>
      <c r="B924" s="24"/>
      <c r="C924" s="24"/>
      <c r="D924" s="24"/>
      <c r="E924" s="24"/>
      <c r="F924" s="24"/>
      <c r="G924" s="24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 spans="1:26" ht="15.75" customHeight="1" x14ac:dyDescent="0.25">
      <c r="A925" s="24"/>
      <c r="B925" s="24"/>
      <c r="C925" s="24"/>
      <c r="D925" s="24"/>
      <c r="E925" s="24"/>
      <c r="F925" s="24"/>
      <c r="G925" s="24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 spans="1:26" ht="15.75" customHeight="1" x14ac:dyDescent="0.25">
      <c r="A926" s="24"/>
      <c r="B926" s="24"/>
      <c r="C926" s="24"/>
      <c r="D926" s="24"/>
      <c r="E926" s="24"/>
      <c r="F926" s="24"/>
      <c r="G926" s="24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 spans="1:26" ht="15.75" customHeight="1" x14ac:dyDescent="0.25">
      <c r="A927" s="24"/>
      <c r="B927" s="24"/>
      <c r="C927" s="24"/>
      <c r="D927" s="24"/>
      <c r="E927" s="24"/>
      <c r="F927" s="24"/>
      <c r="G927" s="24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 spans="1:26" ht="15.75" customHeight="1" x14ac:dyDescent="0.25">
      <c r="A928" s="24"/>
      <c r="B928" s="24"/>
      <c r="C928" s="24"/>
      <c r="D928" s="24"/>
      <c r="E928" s="24"/>
      <c r="F928" s="24"/>
      <c r="G928" s="24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 spans="1:26" ht="15.75" customHeight="1" x14ac:dyDescent="0.25">
      <c r="A929" s="24"/>
      <c r="B929" s="24"/>
      <c r="C929" s="24"/>
      <c r="D929" s="24"/>
      <c r="E929" s="24"/>
      <c r="F929" s="24"/>
      <c r="G929" s="24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 spans="1:26" ht="15.75" customHeight="1" x14ac:dyDescent="0.25">
      <c r="A930" s="24"/>
      <c r="B930" s="24"/>
      <c r="C930" s="24"/>
      <c r="D930" s="24"/>
      <c r="E930" s="24"/>
      <c r="F930" s="24"/>
      <c r="G930" s="24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 spans="1:26" ht="15.75" customHeight="1" x14ac:dyDescent="0.25">
      <c r="A931" s="24"/>
      <c r="B931" s="24"/>
      <c r="C931" s="24"/>
      <c r="D931" s="24"/>
      <c r="E931" s="24"/>
      <c r="F931" s="24"/>
      <c r="G931" s="24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 spans="1:26" ht="15.75" customHeight="1" x14ac:dyDescent="0.25">
      <c r="A932" s="24"/>
      <c r="B932" s="24"/>
      <c r="C932" s="24"/>
      <c r="D932" s="24"/>
      <c r="E932" s="24"/>
      <c r="F932" s="24"/>
      <c r="G932" s="24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 spans="1:26" ht="15.75" customHeight="1" x14ac:dyDescent="0.25">
      <c r="A933" s="24"/>
      <c r="B933" s="24"/>
      <c r="C933" s="24"/>
      <c r="D933" s="24"/>
      <c r="E933" s="24"/>
      <c r="F933" s="24"/>
      <c r="G933" s="24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 spans="1:26" ht="15.75" customHeight="1" x14ac:dyDescent="0.25">
      <c r="A934" s="24"/>
      <c r="B934" s="24"/>
      <c r="C934" s="24"/>
      <c r="D934" s="24"/>
      <c r="E934" s="24"/>
      <c r="F934" s="24"/>
      <c r="G934" s="24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 spans="1:26" ht="15.75" customHeight="1" x14ac:dyDescent="0.25">
      <c r="A935" s="24"/>
      <c r="B935" s="24"/>
      <c r="C935" s="24"/>
      <c r="D935" s="24"/>
      <c r="E935" s="24"/>
      <c r="F935" s="24"/>
      <c r="G935" s="24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 spans="1:26" ht="15.75" customHeight="1" x14ac:dyDescent="0.25">
      <c r="A936" s="24"/>
      <c r="B936" s="24"/>
      <c r="C936" s="24"/>
      <c r="D936" s="24"/>
      <c r="E936" s="24"/>
      <c r="F936" s="24"/>
      <c r="G936" s="24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 spans="1:26" ht="15.75" customHeight="1" x14ac:dyDescent="0.25">
      <c r="A937" s="24"/>
      <c r="B937" s="24"/>
      <c r="C937" s="24"/>
      <c r="D937" s="24"/>
      <c r="E937" s="24"/>
      <c r="F937" s="24"/>
      <c r="G937" s="24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 spans="1:26" ht="15.75" customHeight="1" x14ac:dyDescent="0.25">
      <c r="A938" s="24"/>
      <c r="B938" s="24"/>
      <c r="C938" s="24"/>
      <c r="D938" s="24"/>
      <c r="E938" s="24"/>
      <c r="F938" s="24"/>
      <c r="G938" s="24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 spans="1:26" ht="15.75" customHeight="1" x14ac:dyDescent="0.25">
      <c r="A939" s="24"/>
      <c r="B939" s="24"/>
      <c r="C939" s="24"/>
      <c r="D939" s="24"/>
      <c r="E939" s="24"/>
      <c r="F939" s="24"/>
      <c r="G939" s="24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 spans="1:26" ht="15.75" customHeight="1" x14ac:dyDescent="0.25">
      <c r="A940" s="24"/>
      <c r="B940" s="24"/>
      <c r="C940" s="24"/>
      <c r="D940" s="24"/>
      <c r="E940" s="24"/>
      <c r="F940" s="24"/>
      <c r="G940" s="24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 spans="1:26" ht="15.75" customHeight="1" x14ac:dyDescent="0.25">
      <c r="A941" s="24"/>
      <c r="B941" s="24"/>
      <c r="C941" s="24"/>
      <c r="D941" s="24"/>
      <c r="E941" s="24"/>
      <c r="F941" s="24"/>
      <c r="G941" s="24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 spans="1:26" ht="15.75" customHeight="1" x14ac:dyDescent="0.25">
      <c r="A942" s="24"/>
      <c r="B942" s="24"/>
      <c r="C942" s="24"/>
      <c r="D942" s="24"/>
      <c r="E942" s="24"/>
      <c r="F942" s="24"/>
      <c r="G942" s="24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 spans="1:26" ht="15.75" customHeight="1" x14ac:dyDescent="0.25">
      <c r="A943" s="24"/>
      <c r="B943" s="24"/>
      <c r="C943" s="24"/>
      <c r="D943" s="24"/>
      <c r="E943" s="24"/>
      <c r="F943" s="24"/>
      <c r="G943" s="24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 spans="1:26" ht="15.75" customHeight="1" x14ac:dyDescent="0.25">
      <c r="A944" s="24"/>
      <c r="B944" s="24"/>
      <c r="C944" s="24"/>
      <c r="D944" s="24"/>
      <c r="E944" s="24"/>
      <c r="F944" s="24"/>
      <c r="G944" s="24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 spans="1:26" ht="15.75" customHeight="1" x14ac:dyDescent="0.25">
      <c r="A945" s="24"/>
      <c r="B945" s="24"/>
      <c r="C945" s="24"/>
      <c r="D945" s="24"/>
      <c r="E945" s="24"/>
      <c r="F945" s="24"/>
      <c r="G945" s="24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 spans="1:26" ht="15.75" customHeight="1" x14ac:dyDescent="0.25">
      <c r="A946" s="24"/>
      <c r="B946" s="24"/>
      <c r="C946" s="24"/>
      <c r="D946" s="24"/>
      <c r="E946" s="24"/>
      <c r="F946" s="24"/>
      <c r="G946" s="24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 spans="1:26" ht="15.75" customHeight="1" x14ac:dyDescent="0.25">
      <c r="A947" s="24"/>
      <c r="B947" s="24"/>
      <c r="C947" s="24"/>
      <c r="D947" s="24"/>
      <c r="E947" s="24"/>
      <c r="F947" s="24"/>
      <c r="G947" s="24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 spans="1:26" ht="15.75" customHeight="1" x14ac:dyDescent="0.25">
      <c r="A948" s="24"/>
      <c r="B948" s="24"/>
      <c r="C948" s="24"/>
      <c r="D948" s="24"/>
      <c r="E948" s="24"/>
      <c r="F948" s="24"/>
      <c r="G948" s="24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 spans="1:26" ht="15.75" customHeight="1" x14ac:dyDescent="0.25">
      <c r="A949" s="24"/>
      <c r="B949" s="24"/>
      <c r="C949" s="24"/>
      <c r="D949" s="24"/>
      <c r="E949" s="24"/>
      <c r="F949" s="24"/>
      <c r="G949" s="24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 spans="1:26" ht="15.75" customHeight="1" x14ac:dyDescent="0.25">
      <c r="A950" s="24"/>
      <c r="B950" s="24"/>
      <c r="C950" s="24"/>
      <c r="D950" s="24"/>
      <c r="E950" s="24"/>
      <c r="F950" s="24"/>
      <c r="G950" s="24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 spans="1:26" ht="15.75" customHeight="1" x14ac:dyDescent="0.25">
      <c r="A951" s="24"/>
      <c r="B951" s="24"/>
      <c r="C951" s="24"/>
      <c r="D951" s="24"/>
      <c r="E951" s="24"/>
      <c r="F951" s="24"/>
      <c r="G951" s="24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 spans="1:26" ht="15.75" customHeight="1" x14ac:dyDescent="0.25">
      <c r="A952" s="24"/>
      <c r="B952" s="24"/>
      <c r="C952" s="24"/>
      <c r="D952" s="24"/>
      <c r="E952" s="24"/>
      <c r="F952" s="24"/>
      <c r="G952" s="24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 spans="1:26" ht="15.75" customHeight="1" x14ac:dyDescent="0.25">
      <c r="A953" s="24"/>
      <c r="B953" s="24"/>
      <c r="C953" s="24"/>
      <c r="D953" s="24"/>
      <c r="E953" s="24"/>
      <c r="F953" s="24"/>
      <c r="G953" s="24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 spans="1:26" ht="15.75" customHeight="1" x14ac:dyDescent="0.25">
      <c r="A954" s="24"/>
      <c r="B954" s="24"/>
      <c r="C954" s="24"/>
      <c r="D954" s="24"/>
      <c r="E954" s="24"/>
      <c r="F954" s="24"/>
      <c r="G954" s="24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 spans="1:26" ht="15.75" customHeight="1" x14ac:dyDescent="0.25">
      <c r="A955" s="24"/>
      <c r="B955" s="24"/>
      <c r="C955" s="24"/>
      <c r="D955" s="24"/>
      <c r="E955" s="24"/>
      <c r="F955" s="24"/>
      <c r="G955" s="24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 spans="1:26" ht="15.75" customHeight="1" x14ac:dyDescent="0.25">
      <c r="A956" s="24"/>
      <c r="B956" s="24"/>
      <c r="C956" s="24"/>
      <c r="D956" s="24"/>
      <c r="E956" s="24"/>
      <c r="F956" s="24"/>
      <c r="G956" s="24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 spans="1:26" ht="15.75" customHeight="1" x14ac:dyDescent="0.25">
      <c r="A957" s="24"/>
      <c r="B957" s="24"/>
      <c r="C957" s="24"/>
      <c r="D957" s="24"/>
      <c r="E957" s="24"/>
      <c r="F957" s="24"/>
      <c r="G957" s="24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 spans="1:26" ht="15.75" customHeight="1" x14ac:dyDescent="0.25">
      <c r="A958" s="24"/>
      <c r="B958" s="24"/>
      <c r="C958" s="24"/>
      <c r="D958" s="24"/>
      <c r="E958" s="24"/>
      <c r="F958" s="24"/>
      <c r="G958" s="24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 spans="1:26" ht="15.75" customHeight="1" x14ac:dyDescent="0.25">
      <c r="A959" s="24"/>
      <c r="B959" s="24"/>
      <c r="C959" s="24"/>
      <c r="D959" s="24"/>
      <c r="E959" s="24"/>
      <c r="F959" s="24"/>
      <c r="G959" s="24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 spans="1:26" ht="15.75" customHeight="1" x14ac:dyDescent="0.25">
      <c r="A960" s="24"/>
      <c r="B960" s="24"/>
      <c r="C960" s="24"/>
      <c r="D960" s="24"/>
      <c r="E960" s="24"/>
      <c r="F960" s="24"/>
      <c r="G960" s="24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 spans="1:26" ht="15.75" customHeight="1" x14ac:dyDescent="0.25">
      <c r="A961" s="24"/>
      <c r="B961" s="24"/>
      <c r="C961" s="24"/>
      <c r="D961" s="24"/>
      <c r="E961" s="24"/>
      <c r="F961" s="24"/>
      <c r="G961" s="24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 spans="1:26" ht="15.75" customHeight="1" x14ac:dyDescent="0.25">
      <c r="A962" s="24"/>
      <c r="B962" s="24"/>
      <c r="C962" s="24"/>
      <c r="D962" s="24"/>
      <c r="E962" s="24"/>
      <c r="F962" s="24"/>
      <c r="G962" s="24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 spans="1:26" ht="15.75" customHeight="1" x14ac:dyDescent="0.25">
      <c r="A963" s="24"/>
      <c r="B963" s="24"/>
      <c r="C963" s="24"/>
      <c r="D963" s="24"/>
      <c r="E963" s="24"/>
      <c r="F963" s="24"/>
      <c r="G963" s="24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 spans="1:26" ht="15.75" customHeight="1" x14ac:dyDescent="0.25">
      <c r="A964" s="24"/>
      <c r="B964" s="24"/>
      <c r="C964" s="24"/>
      <c r="D964" s="24"/>
      <c r="E964" s="24"/>
      <c r="F964" s="24"/>
      <c r="G964" s="24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 spans="1:26" ht="15.75" customHeight="1" x14ac:dyDescent="0.25">
      <c r="A965" s="24"/>
      <c r="B965" s="24"/>
      <c r="C965" s="24"/>
      <c r="D965" s="24"/>
      <c r="E965" s="24"/>
      <c r="F965" s="24"/>
      <c r="G965" s="24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 spans="1:26" ht="15.75" customHeight="1" x14ac:dyDescent="0.25">
      <c r="A966" s="24"/>
      <c r="B966" s="24"/>
      <c r="C966" s="24"/>
      <c r="D966" s="24"/>
      <c r="E966" s="24"/>
      <c r="F966" s="24"/>
      <c r="G966" s="24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 spans="1:26" ht="15.75" customHeight="1" x14ac:dyDescent="0.25">
      <c r="A967" s="24"/>
      <c r="B967" s="24"/>
      <c r="C967" s="24"/>
      <c r="D967" s="24"/>
      <c r="E967" s="24"/>
      <c r="F967" s="24"/>
      <c r="G967" s="24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 spans="1:26" ht="15.75" customHeight="1" x14ac:dyDescent="0.25">
      <c r="A968" s="24"/>
      <c r="B968" s="24"/>
      <c r="C968" s="24"/>
      <c r="D968" s="24"/>
      <c r="E968" s="24"/>
      <c r="F968" s="24"/>
      <c r="G968" s="24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 spans="1:26" ht="15.75" customHeight="1" x14ac:dyDescent="0.25">
      <c r="A969" s="24"/>
      <c r="B969" s="24"/>
      <c r="C969" s="24"/>
      <c r="D969" s="24"/>
      <c r="E969" s="24"/>
      <c r="F969" s="24"/>
      <c r="G969" s="24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 spans="1:26" ht="15.75" customHeight="1" x14ac:dyDescent="0.25">
      <c r="A970" s="24"/>
      <c r="B970" s="24"/>
      <c r="C970" s="24"/>
      <c r="D970" s="24"/>
      <c r="E970" s="24"/>
      <c r="F970" s="24"/>
      <c r="G970" s="24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 spans="1:26" ht="15.75" customHeight="1" x14ac:dyDescent="0.25">
      <c r="A971" s="24"/>
      <c r="B971" s="24"/>
      <c r="C971" s="24"/>
      <c r="D971" s="24"/>
      <c r="E971" s="24"/>
      <c r="F971" s="24"/>
      <c r="G971" s="24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 spans="1:26" ht="15.75" customHeight="1" x14ac:dyDescent="0.25">
      <c r="A972" s="24"/>
      <c r="B972" s="24"/>
      <c r="C972" s="24"/>
      <c r="D972" s="24"/>
      <c r="E972" s="24"/>
      <c r="F972" s="24"/>
      <c r="G972" s="24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 spans="1:26" ht="15.75" customHeight="1" x14ac:dyDescent="0.25">
      <c r="A973" s="24"/>
      <c r="B973" s="24"/>
      <c r="C973" s="24"/>
      <c r="D973" s="24"/>
      <c r="E973" s="24"/>
      <c r="F973" s="24"/>
      <c r="G973" s="24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 spans="1:26" ht="15.75" customHeight="1" x14ac:dyDescent="0.25">
      <c r="A974" s="24"/>
      <c r="B974" s="24"/>
      <c r="C974" s="24"/>
      <c r="D974" s="24"/>
      <c r="E974" s="24"/>
      <c r="F974" s="24"/>
      <c r="G974" s="24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 spans="1:26" ht="15.75" customHeight="1" x14ac:dyDescent="0.25">
      <c r="A975" s="24"/>
      <c r="B975" s="24"/>
      <c r="C975" s="24"/>
      <c r="D975" s="24"/>
      <c r="E975" s="24"/>
      <c r="F975" s="24"/>
      <c r="G975" s="24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 spans="1:26" ht="15.75" customHeight="1" x14ac:dyDescent="0.25">
      <c r="A976" s="24"/>
      <c r="B976" s="24"/>
      <c r="C976" s="24"/>
      <c r="D976" s="24"/>
      <c r="E976" s="24"/>
      <c r="F976" s="24"/>
      <c r="G976" s="24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 spans="1:26" ht="15.75" customHeight="1" x14ac:dyDescent="0.25">
      <c r="A977" s="24"/>
      <c r="B977" s="24"/>
      <c r="C977" s="24"/>
      <c r="D977" s="24"/>
      <c r="E977" s="24"/>
      <c r="F977" s="24"/>
      <c r="G977" s="24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 spans="1:26" ht="15.75" customHeight="1" x14ac:dyDescent="0.25">
      <c r="A978" s="24"/>
      <c r="B978" s="24"/>
      <c r="C978" s="24"/>
      <c r="D978" s="24"/>
      <c r="E978" s="24"/>
      <c r="F978" s="24"/>
      <c r="G978" s="24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 spans="1:26" ht="15.75" customHeight="1" x14ac:dyDescent="0.25">
      <c r="A979" s="24"/>
      <c r="B979" s="24"/>
      <c r="C979" s="24"/>
      <c r="D979" s="24"/>
      <c r="E979" s="24"/>
      <c r="F979" s="24"/>
      <c r="G979" s="24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 spans="1:26" ht="15.75" customHeight="1" x14ac:dyDescent="0.25">
      <c r="A980" s="24"/>
      <c r="B980" s="24"/>
      <c r="C980" s="24"/>
      <c r="D980" s="24"/>
      <c r="E980" s="24"/>
      <c r="F980" s="24"/>
      <c r="G980" s="24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 spans="1:26" ht="15.75" customHeight="1" x14ac:dyDescent="0.25">
      <c r="A981" s="24"/>
      <c r="B981" s="24"/>
      <c r="C981" s="24"/>
      <c r="D981" s="24"/>
      <c r="E981" s="24"/>
      <c r="F981" s="24"/>
      <c r="G981" s="24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 spans="1:26" ht="15.75" customHeight="1" x14ac:dyDescent="0.25">
      <c r="A982" s="24"/>
      <c r="B982" s="24"/>
      <c r="C982" s="24"/>
      <c r="D982" s="24"/>
      <c r="E982" s="24"/>
      <c r="F982" s="24"/>
      <c r="G982" s="24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 spans="1:26" ht="15.75" customHeight="1" x14ac:dyDescent="0.25">
      <c r="A983" s="24"/>
      <c r="B983" s="24"/>
      <c r="C983" s="24"/>
      <c r="D983" s="24"/>
      <c r="E983" s="24"/>
      <c r="F983" s="24"/>
      <c r="G983" s="24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 spans="1:26" ht="15.75" customHeight="1" x14ac:dyDescent="0.25">
      <c r="A984" s="24"/>
      <c r="B984" s="24"/>
      <c r="C984" s="24"/>
      <c r="D984" s="24"/>
      <c r="E984" s="24"/>
      <c r="F984" s="24"/>
      <c r="G984" s="24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 spans="1:26" ht="15.75" customHeight="1" x14ac:dyDescent="0.25">
      <c r="A985" s="24"/>
      <c r="B985" s="24"/>
      <c r="C985" s="24"/>
      <c r="D985" s="24"/>
      <c r="E985" s="24"/>
      <c r="F985" s="24"/>
      <c r="G985" s="24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 spans="1:26" ht="15.75" customHeight="1" x14ac:dyDescent="0.25">
      <c r="A986" s="24"/>
      <c r="B986" s="24"/>
      <c r="C986" s="24"/>
      <c r="D986" s="24"/>
      <c r="E986" s="24"/>
      <c r="F986" s="24"/>
      <c r="G986" s="24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 spans="1:26" ht="15.75" customHeight="1" x14ac:dyDescent="0.25">
      <c r="A987" s="24"/>
      <c r="B987" s="24"/>
      <c r="C987" s="24"/>
      <c r="D987" s="24"/>
      <c r="E987" s="24"/>
      <c r="F987" s="24"/>
      <c r="G987" s="24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 spans="1:26" ht="15.75" customHeight="1" x14ac:dyDescent="0.25">
      <c r="A988" s="24"/>
      <c r="B988" s="24"/>
      <c r="C988" s="24"/>
      <c r="D988" s="24"/>
      <c r="E988" s="24"/>
      <c r="F988" s="24"/>
      <c r="G988" s="24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 spans="1:26" ht="15.75" customHeight="1" x14ac:dyDescent="0.25">
      <c r="A989" s="24"/>
      <c r="B989" s="24"/>
      <c r="C989" s="24"/>
      <c r="D989" s="24"/>
      <c r="E989" s="24"/>
      <c r="F989" s="24"/>
      <c r="G989" s="24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 spans="1:26" ht="15.75" customHeight="1" x14ac:dyDescent="0.25">
      <c r="A990" s="24"/>
      <c r="B990" s="24"/>
      <c r="C990" s="24"/>
      <c r="D990" s="24"/>
      <c r="E990" s="24"/>
      <c r="F990" s="24"/>
      <c r="G990" s="24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 spans="1:26" ht="15.75" customHeight="1" x14ac:dyDescent="0.25">
      <c r="A991" s="24"/>
      <c r="B991" s="24"/>
      <c r="C991" s="24"/>
      <c r="D991" s="24"/>
      <c r="E991" s="24"/>
      <c r="F991" s="24"/>
      <c r="G991" s="24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 spans="1:26" ht="15.75" customHeight="1" x14ac:dyDescent="0.25">
      <c r="A992" s="24"/>
      <c r="B992" s="24"/>
      <c r="C992" s="24"/>
      <c r="D992" s="24"/>
      <c r="E992" s="24"/>
      <c r="F992" s="24"/>
      <c r="G992" s="24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 spans="1:26" ht="15.75" customHeight="1" x14ac:dyDescent="0.25">
      <c r="A993" s="24"/>
      <c r="B993" s="24"/>
      <c r="C993" s="24"/>
      <c r="D993" s="24"/>
      <c r="E993" s="24"/>
      <c r="F993" s="24"/>
      <c r="G993" s="24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 spans="1:26" ht="15.75" customHeight="1" x14ac:dyDescent="0.25">
      <c r="A994" s="24"/>
      <c r="B994" s="24"/>
      <c r="C994" s="24"/>
      <c r="D994" s="24"/>
      <c r="E994" s="24"/>
      <c r="F994" s="24"/>
      <c r="G994" s="24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 spans="1:26" ht="15.75" customHeight="1" x14ac:dyDescent="0.25">
      <c r="A995" s="24"/>
      <c r="B995" s="24"/>
      <c r="C995" s="24"/>
      <c r="D995" s="24"/>
      <c r="E995" s="24"/>
      <c r="F995" s="24"/>
      <c r="G995" s="24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</sheetData>
  <mergeCells count="6">
    <mergeCell ref="B2:G2"/>
    <mergeCell ref="B10:G10"/>
    <mergeCell ref="C4:E4"/>
    <mergeCell ref="C5:E5"/>
    <mergeCell ref="B6:B7"/>
    <mergeCell ref="C6:E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activeCell="D13" sqref="D13"/>
    </sheetView>
  </sheetViews>
  <sheetFormatPr defaultColWidth="14.42578125" defaultRowHeight="15" x14ac:dyDescent="0.25"/>
  <cols>
    <col min="1" max="1" width="1.5703125" customWidth="1"/>
    <col min="2" max="2" width="13.42578125" customWidth="1"/>
    <col min="3" max="3" width="30.28515625" customWidth="1"/>
    <col min="4" max="4" width="36.28515625" customWidth="1"/>
    <col min="5" max="5" width="29.28515625" customWidth="1"/>
    <col min="6" max="6" width="35" customWidth="1"/>
    <col min="7" max="16" width="10.28515625" customWidth="1"/>
    <col min="17" max="26" width="9.140625" customWidth="1"/>
  </cols>
  <sheetData>
    <row r="1" spans="1:26" s="49" customFormat="1" x14ac:dyDescent="0.25"/>
    <row r="2" spans="1:26" ht="25.5" customHeight="1" x14ac:dyDescent="0.4">
      <c r="A2" s="1"/>
      <c r="B2" s="127" t="s">
        <v>0</v>
      </c>
      <c r="C2" s="127"/>
      <c r="D2" s="127"/>
      <c r="E2" s="127"/>
      <c r="F2" s="12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5">
      <c r="A3" s="1"/>
      <c r="B3" s="2"/>
      <c r="C3" s="3"/>
      <c r="D3" s="5"/>
      <c r="E3" s="5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128" t="s">
        <v>1</v>
      </c>
      <c r="C4" s="115"/>
      <c r="D4" s="129" t="str">
        <f>Cover!C4</f>
        <v>Hybrid framework</v>
      </c>
      <c r="E4" s="115"/>
      <c r="F4" s="11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128" t="s">
        <v>2</v>
      </c>
      <c r="C5" s="115"/>
      <c r="D5" s="129" t="str">
        <f>Cover!C5</f>
        <v>DA4</v>
      </c>
      <c r="E5" s="115"/>
      <c r="F5" s="1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6.5" customHeight="1" x14ac:dyDescent="0.25">
      <c r="A6" s="6"/>
      <c r="B6" s="125" t="s">
        <v>3</v>
      </c>
      <c r="C6" s="116"/>
      <c r="D6" s="126" t="s">
        <v>107</v>
      </c>
      <c r="E6" s="115"/>
      <c r="F6" s="11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25">
      <c r="A7" s="1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8"/>
      <c r="B8" s="9"/>
      <c r="C8" s="10"/>
      <c r="D8" s="10"/>
      <c r="E8" s="10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1" customHeight="1" x14ac:dyDescent="0.25">
      <c r="A9" s="11"/>
      <c r="B9" s="12" t="s">
        <v>4</v>
      </c>
      <c r="C9" s="13" t="s">
        <v>5</v>
      </c>
      <c r="D9" s="13" t="s">
        <v>6</v>
      </c>
      <c r="E9" s="14" t="s">
        <v>7</v>
      </c>
      <c r="F9" s="15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 x14ac:dyDescent="0.25">
      <c r="A10" s="1"/>
      <c r="B10" s="16">
        <v>1</v>
      </c>
      <c r="C10" s="19" t="s">
        <v>102</v>
      </c>
      <c r="D10" s="106" t="s">
        <v>108</v>
      </c>
      <c r="E10" s="17"/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"/>
      <c r="B11" s="16">
        <v>2</v>
      </c>
      <c r="C11" s="19" t="s">
        <v>103</v>
      </c>
      <c r="D11" s="106" t="s">
        <v>109</v>
      </c>
      <c r="E11" s="17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5">
      <c r="A12" s="1"/>
      <c r="B12" s="16">
        <v>3</v>
      </c>
      <c r="C12" s="19" t="s">
        <v>104</v>
      </c>
      <c r="D12" s="106" t="s">
        <v>110</v>
      </c>
      <c r="E12" s="17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5">
      <c r="A13" s="1"/>
      <c r="B13" s="16">
        <v>4</v>
      </c>
      <c r="C13" s="19" t="s">
        <v>105</v>
      </c>
      <c r="D13" s="106" t="s">
        <v>278</v>
      </c>
      <c r="E13" s="19"/>
      <c r="F13" s="1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16">
        <v>5</v>
      </c>
      <c r="C14" s="19" t="s">
        <v>106</v>
      </c>
      <c r="D14" s="106" t="s">
        <v>279</v>
      </c>
      <c r="E14" s="19"/>
      <c r="F14" s="1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20"/>
      <c r="C15" s="21"/>
      <c r="D15" s="22"/>
      <c r="E15" s="22"/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"/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3"/>
      <c r="D25" s="3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3"/>
      <c r="D26" s="3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3"/>
      <c r="D27" s="3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3"/>
      <c r="D28" s="3"/>
      <c r="E28" s="3"/>
      <c r="F28" s="3"/>
      <c r="G28" s="1"/>
      <c r="H28" s="1"/>
      <c r="I28" s="1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3"/>
      <c r="D29" s="3"/>
      <c r="E29" s="3"/>
      <c r="F29" s="3"/>
      <c r="G29" s="1"/>
      <c r="H29" s="1"/>
      <c r="I29" s="1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3"/>
      <c r="D30" s="3"/>
      <c r="E30" s="3"/>
      <c r="F30" s="3"/>
      <c r="G30" s="1"/>
      <c r="H30" s="1"/>
      <c r="I30" s="1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3"/>
      <c r="D31" s="3"/>
      <c r="E31" s="3"/>
      <c r="F31" s="3"/>
      <c r="G31" s="1"/>
      <c r="H31" s="1"/>
      <c r="I31" s="1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3"/>
      <c r="D32" s="3"/>
      <c r="E32" s="3"/>
      <c r="F32" s="3"/>
      <c r="G32" s="1"/>
      <c r="H32" s="1"/>
      <c r="I32" s="1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3"/>
      <c r="D33" s="3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3"/>
      <c r="D34" s="3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3"/>
      <c r="D35" s="3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3"/>
      <c r="D36" s="3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3"/>
      <c r="D37" s="3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3"/>
      <c r="D38" s="3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3"/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3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3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3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3"/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3"/>
      <c r="D55" s="3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3"/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3"/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3"/>
      <c r="D208" s="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3"/>
      <c r="D209" s="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3"/>
      <c r="D210" s="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3"/>
      <c r="D211" s="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3"/>
      <c r="D212" s="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3"/>
      <c r="D213" s="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3"/>
      <c r="D214" s="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3"/>
      <c r="D215" s="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5.75" customHeight="1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5.75" customHeight="1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5.75" customHeight="1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5.75" customHeight="1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5.75" customHeight="1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5.75" customHeight="1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5.75" customHeight="1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5.75" customHeight="1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5.75" customHeight="1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5.75" customHeight="1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5.75" customHeight="1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5.75" customHeight="1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5.75" customHeight="1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5.75" customHeight="1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5.75" customHeight="1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5.75" customHeight="1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5.75" customHeight="1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5.75" customHeight="1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5.75" customHeight="1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5.75" customHeight="1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5.75" customHeight="1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5.75" customHeight="1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5.75" customHeight="1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5.75" customHeight="1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5.75" customHeight="1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5.75" customHeight="1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5.75" customHeight="1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5.75" customHeight="1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5.75" customHeight="1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5.75" customHeight="1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5.75" customHeight="1" x14ac:dyDescent="0.2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5.75" customHeight="1" x14ac:dyDescent="0.2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5.75" customHeight="1" x14ac:dyDescent="0.2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5.75" customHeight="1" x14ac:dyDescent="0.2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5.75" customHeight="1" x14ac:dyDescent="0.2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5.7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5.7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5.7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5.7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5.7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5.7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5.7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5.7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5.7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5.7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5.7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5.7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5.7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5.7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5.7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5.7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5.7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5.7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5.7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5.7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5.7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5.7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5.7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5.7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5.7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5.7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5.7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5.7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5.7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5.7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5.7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5.7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5.7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5.7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5.7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5.7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5.7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5.7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5.7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5.7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5.7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5.7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5.7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5.7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5.7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5.7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5.7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5.7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5.7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5.7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5.7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5.7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5.7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5.7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5.7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5.7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5.7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5.7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5.7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5.7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5.7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5.7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5.7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5.7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5.7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5.7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5.7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5.7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5.7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5.7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5.7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5.7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5.7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5.7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5.7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5.7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5.7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5.7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5.7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5.7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5.7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5.7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5.7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5.7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5.7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5.7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5.7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5.7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5.7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5.7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5.7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5.7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5.7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5.7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5.7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5.7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5.7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5.7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5.7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5.7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5.7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5.7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5.7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5.7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5.7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5.7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5.7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5.7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5.7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5.7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5.7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5.7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5.7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5.7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5.7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5.7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5.7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5.7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5.7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5.7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5.7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5.7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5.7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5.7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5.7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5.7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5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5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5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5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5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5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5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5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5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5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5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5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5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5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5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5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5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5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5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5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5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5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5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5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5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5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5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5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5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5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5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5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5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5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5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5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5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5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5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5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5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5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5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5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5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5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5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5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5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5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5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5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5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5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5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5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5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5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5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5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5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5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5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5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5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5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5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5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5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5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5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5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5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5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5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5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5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5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5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5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5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5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5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5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5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5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5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5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5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5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5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5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5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5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5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5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5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5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5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5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5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5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5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5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5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5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5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5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5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5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5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5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5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5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5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5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5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5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5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5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5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5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5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5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5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5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5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5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5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5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5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5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5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5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5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5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5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5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5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5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5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5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5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5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5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5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5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5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5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5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5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5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5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5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5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5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5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5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5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5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5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5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5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5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5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5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5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5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5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5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5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5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5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5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5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5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5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5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5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5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5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5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5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5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5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5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5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5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5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5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5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5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5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5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5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5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5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5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5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5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5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5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5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5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5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5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5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5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5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5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5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5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5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5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5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5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5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5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5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5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5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5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5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5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5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5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5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5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5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5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5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5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5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5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5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5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5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5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5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5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5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5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5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5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5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5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5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5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5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5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5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5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5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5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5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5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5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5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5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5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5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5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5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5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5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5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5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5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5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5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5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5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5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5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5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5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5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5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5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5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5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5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5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5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5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5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5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5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5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5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5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5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5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5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5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5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5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5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5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5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5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5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5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5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5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5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5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5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5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5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5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5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5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5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5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5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5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5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5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5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5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5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5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5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5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5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5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5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5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5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5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5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5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5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5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5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5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5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5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5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5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5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5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5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5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5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5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5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5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5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5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5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5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5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5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5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5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5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5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5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5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5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5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5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5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5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5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5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5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5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5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5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5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5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5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5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5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5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5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5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5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5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5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5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5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5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5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5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5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5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5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5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5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5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5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5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5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5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5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5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5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5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5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5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5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5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5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5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5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5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5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5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5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5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5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5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5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5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5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5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5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5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5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5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5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5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5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5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5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5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5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5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5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5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5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5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5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5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5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5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5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5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5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5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5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5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5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5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5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5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5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5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5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5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5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5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5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5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5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5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5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5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5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5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5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5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5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5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5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5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5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5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5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5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5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5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5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5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5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5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5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5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5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5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5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5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5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5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5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5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5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5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5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5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5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5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5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5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5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5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5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5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5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5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5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5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5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5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5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5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5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5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5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5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5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5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5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5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5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5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5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5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5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5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5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5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5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5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5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5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5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5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5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5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5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5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5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5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5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5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5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5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5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5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5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5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5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5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5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5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5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5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5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5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5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5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5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5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5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5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5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5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5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5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5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5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5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5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5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5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5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5.75" customHeight="1" x14ac:dyDescent="0.2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5.75" customHeight="1" x14ac:dyDescent="0.2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5.75" customHeight="1" x14ac:dyDescent="0.2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5.75" customHeight="1" x14ac:dyDescent="0.2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5.75" customHeight="1" x14ac:dyDescent="0.2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5.75" customHeight="1" x14ac:dyDescent="0.2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5.75" customHeight="1" x14ac:dyDescent="0.2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5.75" customHeight="1" x14ac:dyDescent="0.2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5.75" customHeight="1" x14ac:dyDescent="0.2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5.75" customHeight="1" x14ac:dyDescent="0.2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5.75" customHeight="1" x14ac:dyDescent="0.2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5.75" customHeight="1" x14ac:dyDescent="0.2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5.75" customHeight="1" x14ac:dyDescent="0.2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5.75" customHeight="1" x14ac:dyDescent="0.2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5.75" customHeight="1" x14ac:dyDescent="0.2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5.75" customHeight="1" x14ac:dyDescent="0.2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5.75" customHeight="1" x14ac:dyDescent="0.2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5.75" customHeight="1" x14ac:dyDescent="0.2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5.75" customHeight="1" x14ac:dyDescent="0.2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5.75" customHeight="1" x14ac:dyDescent="0.2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5.75" customHeight="1" x14ac:dyDescent="0.2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5.75" customHeight="1" x14ac:dyDescent="0.2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5.75" customHeight="1" x14ac:dyDescent="0.2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5.75" customHeight="1" x14ac:dyDescent="0.2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5.75" customHeight="1" x14ac:dyDescent="0.2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5.75" customHeight="1" x14ac:dyDescent="0.2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5.75" customHeight="1" x14ac:dyDescent="0.2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5.75" customHeight="1" x14ac:dyDescent="0.2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5.75" customHeight="1" x14ac:dyDescent="0.2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5.75" customHeight="1" x14ac:dyDescent="0.2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5.75" customHeight="1" x14ac:dyDescent="0.2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5.75" customHeight="1" x14ac:dyDescent="0.2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5.75" customHeight="1" x14ac:dyDescent="0.2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5.75" customHeight="1" x14ac:dyDescent="0.2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5.75" customHeight="1" x14ac:dyDescent="0.2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5.75" customHeight="1" x14ac:dyDescent="0.2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5.75" customHeight="1" x14ac:dyDescent="0.2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5.75" customHeight="1" x14ac:dyDescent="0.2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5.75" customHeight="1" x14ac:dyDescent="0.2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5.75" customHeight="1" x14ac:dyDescent="0.2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5.75" customHeight="1" x14ac:dyDescent="0.2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5.75" customHeight="1" x14ac:dyDescent="0.2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5.75" customHeight="1" x14ac:dyDescent="0.2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5.75" customHeight="1" x14ac:dyDescent="0.2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5.75" customHeight="1" x14ac:dyDescent="0.2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5.75" customHeight="1" x14ac:dyDescent="0.2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</sheetData>
  <mergeCells count="7">
    <mergeCell ref="B6:C6"/>
    <mergeCell ref="D6:F6"/>
    <mergeCell ref="B2:F2"/>
    <mergeCell ref="B4:C4"/>
    <mergeCell ref="D4:F4"/>
    <mergeCell ref="B5:C5"/>
    <mergeCell ref="D5:F5"/>
  </mergeCells>
  <hyperlinks>
    <hyperlink ref="D10" location="'1. Login'!A1" display="1. Login" xr:uid="{309BE95B-8B48-481C-9B2B-719496F13C28}"/>
    <hyperlink ref="D11" location="'2. Register'!A1" display="2. Register" xr:uid="{FDD1A8BF-28E2-4FA4-8663-C1A70CBB1A17}"/>
    <hyperlink ref="D12" location="'3. Search'!A1" display="3. Search" xr:uid="{43AFDA7B-179D-43C9-9BB2-C846BCB84272}"/>
    <hyperlink ref="D13" location="'4. Shopping Cart '!A1" display="4. Shopping Cart " xr:uid="{0CAC0B03-F05B-434F-B850-12D0AAF215FA}"/>
    <hyperlink ref="D14" location="'6. Form Validation'!A1" display="6. Form Validation" xr:uid="{DD207F4A-1264-4A28-96C6-91572CB2C59C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5A01-5CCA-4EA4-8788-223A28FDEBF3}">
  <dimension ref="A1:AB965"/>
  <sheetViews>
    <sheetView tabSelected="1" workbookViewId="0">
      <selection activeCell="E5" sqref="E5"/>
    </sheetView>
  </sheetViews>
  <sheetFormatPr defaultColWidth="14.42578125" defaultRowHeight="15" x14ac:dyDescent="0.25"/>
  <cols>
    <col min="1" max="1" width="15" customWidth="1"/>
    <col min="2" max="2" width="27.28515625" bestFit="1" customWidth="1"/>
    <col min="3" max="3" width="26" customWidth="1"/>
    <col min="4" max="4" width="23.140625" customWidth="1"/>
    <col min="5" max="5" width="24.28515625" customWidth="1"/>
    <col min="6" max="6" width="38.28515625" customWidth="1"/>
    <col min="7" max="7" width="11.28515625" customWidth="1"/>
    <col min="8" max="8" width="18" bestFit="1" customWidth="1"/>
    <col min="9" max="9" width="11.140625" customWidth="1"/>
    <col min="10" max="17" width="10.28515625" customWidth="1"/>
    <col min="18" max="24" width="9.140625" customWidth="1"/>
    <col min="25" max="28" width="17.28515625" customWidth="1"/>
  </cols>
  <sheetData>
    <row r="1" spans="1:28" s="49" customFormat="1" x14ac:dyDescent="0.25"/>
    <row r="2" spans="1:28" s="49" customFormat="1" ht="25.5" customHeight="1" x14ac:dyDescent="0.4">
      <c r="A2" s="51"/>
      <c r="B2" s="130" t="s">
        <v>116</v>
      </c>
      <c r="C2" s="130"/>
      <c r="D2" s="130"/>
      <c r="E2" s="130"/>
      <c r="F2" s="130"/>
      <c r="G2" s="130"/>
      <c r="H2" s="130"/>
      <c r="I2" s="130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8" s="49" customFormat="1" ht="15.75" thickBot="1" x14ac:dyDescent="0.3">
      <c r="A3" s="107"/>
      <c r="B3" s="53"/>
      <c r="C3" s="53"/>
      <c r="D3" s="53"/>
      <c r="E3" s="53"/>
      <c r="F3" s="53"/>
      <c r="G3" s="107"/>
      <c r="H3" s="107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108"/>
      <c r="Z3" s="108"/>
      <c r="AA3" s="108"/>
    </row>
    <row r="4" spans="1:28" x14ac:dyDescent="0.25">
      <c r="A4" s="54"/>
      <c r="B4" s="55" t="s">
        <v>24</v>
      </c>
      <c r="C4" s="55" t="str">
        <f>HYPERLINK("#'Test case List'!A1","Test case List")</f>
        <v>Test case List</v>
      </c>
      <c r="D4" s="54"/>
      <c r="E4" s="54"/>
      <c r="F4" s="54"/>
      <c r="G4" s="56" t="s">
        <v>25</v>
      </c>
      <c r="H4" s="57">
        <f>COUNTIF($A$11:$A$831, "LOGIN*")</f>
        <v>14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7"/>
      <c r="Z4" s="37"/>
      <c r="AA4" s="37"/>
      <c r="AB4" s="37"/>
    </row>
    <row r="5" spans="1:28" x14ac:dyDescent="0.25">
      <c r="A5" s="54"/>
      <c r="B5" s="58" t="s">
        <v>26</v>
      </c>
      <c r="C5" s="59" t="s">
        <v>111</v>
      </c>
      <c r="D5" s="54"/>
      <c r="E5" s="54"/>
      <c r="F5" s="54"/>
      <c r="G5" s="60" t="s">
        <v>27</v>
      </c>
      <c r="H5" s="61">
        <f>(COUNTIF(H11:H19,"Pass"))</f>
        <v>0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7"/>
      <c r="Z5" s="37"/>
      <c r="AA5" s="37"/>
      <c r="AB5" s="37"/>
    </row>
    <row r="6" spans="1:28" ht="15.75" thickBot="1" x14ac:dyDescent="0.3">
      <c r="A6" s="54"/>
      <c r="B6" s="62" t="s">
        <v>28</v>
      </c>
      <c r="C6" s="63"/>
      <c r="D6" s="54"/>
      <c r="E6" s="54"/>
      <c r="F6" s="54"/>
      <c r="G6" s="60" t="s">
        <v>29</v>
      </c>
      <c r="H6" s="61">
        <f>(COUNTIF(H11:H19,"Fail"))</f>
        <v>0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7"/>
      <c r="Z6" s="37"/>
      <c r="AA6" s="37"/>
      <c r="AB6" s="37"/>
    </row>
    <row r="7" spans="1:28" ht="15.75" thickBot="1" x14ac:dyDescent="0.3">
      <c r="A7" s="54"/>
      <c r="B7" s="64"/>
      <c r="C7" s="64"/>
      <c r="D7" s="54"/>
      <c r="E7" s="54"/>
      <c r="F7" s="54"/>
      <c r="G7" s="60" t="s">
        <v>30</v>
      </c>
      <c r="H7" s="61">
        <f>(COUNTIF(H11:H19,"Untest"))</f>
        <v>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37"/>
      <c r="Z7" s="37"/>
      <c r="AA7" s="37"/>
      <c r="AB7" s="37"/>
    </row>
    <row r="8" spans="1:28" ht="15.75" thickBot="1" x14ac:dyDescent="0.3">
      <c r="A8" s="64"/>
      <c r="B8" s="65" t="s">
        <v>31</v>
      </c>
      <c r="C8" s="66" t="str">
        <f>ROUND((H5 / (H4-H8))*100,2)&amp;"%"</f>
        <v>0%</v>
      </c>
      <c r="D8" s="54"/>
      <c r="E8" s="54"/>
      <c r="F8" s="54"/>
      <c r="G8" s="67" t="s">
        <v>32</v>
      </c>
      <c r="H8" s="68">
        <f>(COUNTIF(H11:H19,"N/A"))</f>
        <v>0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37"/>
      <c r="Z8" s="37"/>
      <c r="AA8" s="37"/>
      <c r="AB8" s="37"/>
    </row>
    <row r="9" spans="1:28" x14ac:dyDescent="0.25">
      <c r="A9" s="69"/>
      <c r="B9" s="69"/>
      <c r="C9" s="69"/>
      <c r="D9" s="70"/>
      <c r="E9" s="70"/>
      <c r="F9" s="71"/>
      <c r="G9" s="71"/>
      <c r="H9" s="71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7"/>
      <c r="Z9" s="77"/>
      <c r="AA9" s="77"/>
      <c r="AB9" s="77"/>
    </row>
    <row r="10" spans="1:28" x14ac:dyDescent="0.25">
      <c r="A10" s="72" t="s">
        <v>33</v>
      </c>
      <c r="B10" s="72" t="s">
        <v>34</v>
      </c>
      <c r="C10" s="73" t="s">
        <v>8</v>
      </c>
      <c r="D10" s="72" t="s">
        <v>35</v>
      </c>
      <c r="E10" s="73" t="s">
        <v>36</v>
      </c>
      <c r="F10" s="72" t="s">
        <v>37</v>
      </c>
      <c r="G10" s="74" t="s">
        <v>38</v>
      </c>
      <c r="H10" s="75" t="s">
        <v>39</v>
      </c>
      <c r="I10" s="73" t="s">
        <v>40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7"/>
      <c r="AB10" s="77"/>
    </row>
    <row r="11" spans="1:28" s="109" customFormat="1" ht="99.75" x14ac:dyDescent="0.25">
      <c r="A11" s="76" t="s">
        <v>41</v>
      </c>
      <c r="B11" s="76" t="s">
        <v>117</v>
      </c>
      <c r="C11" s="76" t="s">
        <v>135</v>
      </c>
      <c r="D11" s="76" t="s">
        <v>136</v>
      </c>
      <c r="E11" s="76" t="s">
        <v>137</v>
      </c>
      <c r="F11" s="76" t="s">
        <v>138</v>
      </c>
      <c r="G11" s="76"/>
      <c r="H11" s="76"/>
      <c r="I11" s="76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1"/>
      <c r="AB11" s="111"/>
    </row>
    <row r="12" spans="1:28" s="109" customFormat="1" ht="71.25" x14ac:dyDescent="0.25">
      <c r="A12" s="76" t="s">
        <v>42</v>
      </c>
      <c r="B12" s="76" t="s">
        <v>119</v>
      </c>
      <c r="C12" s="76" t="s">
        <v>139</v>
      </c>
      <c r="D12" s="76" t="s">
        <v>140</v>
      </c>
      <c r="E12" s="76" t="s">
        <v>141</v>
      </c>
      <c r="F12" s="76" t="s">
        <v>142</v>
      </c>
      <c r="G12" s="76"/>
      <c r="H12" s="76"/>
      <c r="I12" s="76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  <c r="Z12" s="111"/>
      <c r="AA12" s="111"/>
      <c r="AB12" s="111"/>
    </row>
    <row r="13" spans="1:28" s="109" customFormat="1" ht="85.5" x14ac:dyDescent="0.25">
      <c r="A13" s="76" t="s">
        <v>43</v>
      </c>
      <c r="B13" s="76" t="s">
        <v>120</v>
      </c>
      <c r="C13" s="76" t="s">
        <v>143</v>
      </c>
      <c r="D13" s="76" t="s">
        <v>144</v>
      </c>
      <c r="E13" s="76" t="s">
        <v>145</v>
      </c>
      <c r="F13" s="76" t="s">
        <v>146</v>
      </c>
      <c r="G13" s="76"/>
      <c r="H13" s="76"/>
      <c r="I13" s="76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1"/>
      <c r="Z13" s="111"/>
      <c r="AA13" s="111"/>
      <c r="AB13" s="111"/>
    </row>
    <row r="14" spans="1:28" s="109" customFormat="1" ht="57" x14ac:dyDescent="0.25">
      <c r="A14" s="76" t="s">
        <v>44</v>
      </c>
      <c r="B14" s="76" t="s">
        <v>121</v>
      </c>
      <c r="C14" s="76" t="s">
        <v>147</v>
      </c>
      <c r="D14" s="76" t="s">
        <v>148</v>
      </c>
      <c r="E14" s="76" t="s">
        <v>149</v>
      </c>
      <c r="F14" s="76" t="s">
        <v>150</v>
      </c>
      <c r="G14" s="76"/>
      <c r="H14" s="76"/>
      <c r="I14" s="76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  <c r="Z14" s="111"/>
      <c r="AA14" s="111"/>
      <c r="AB14" s="111"/>
    </row>
    <row r="15" spans="1:28" s="109" customFormat="1" ht="57" x14ac:dyDescent="0.25">
      <c r="A15" s="76" t="s">
        <v>45</v>
      </c>
      <c r="B15" s="76" t="s">
        <v>122</v>
      </c>
      <c r="C15" s="76" t="s">
        <v>147</v>
      </c>
      <c r="D15" s="76" t="s">
        <v>151</v>
      </c>
      <c r="E15" s="76" t="s">
        <v>152</v>
      </c>
      <c r="F15" s="76" t="s">
        <v>153</v>
      </c>
      <c r="G15" s="76"/>
      <c r="H15" s="76"/>
      <c r="I15" s="76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1"/>
      <c r="AB15" s="111"/>
    </row>
    <row r="16" spans="1:28" s="109" customFormat="1" ht="57" x14ac:dyDescent="0.25">
      <c r="A16" s="76" t="s">
        <v>46</v>
      </c>
      <c r="B16" s="76" t="s">
        <v>123</v>
      </c>
      <c r="C16" s="76" t="s">
        <v>147</v>
      </c>
      <c r="D16" s="76" t="s">
        <v>154</v>
      </c>
      <c r="E16" s="76" t="s">
        <v>155</v>
      </c>
      <c r="F16" s="76" t="s">
        <v>156</v>
      </c>
      <c r="G16" s="76"/>
      <c r="H16" s="76"/>
      <c r="I16" s="76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1"/>
      <c r="Z16" s="111"/>
      <c r="AA16" s="111"/>
      <c r="AB16" s="111"/>
    </row>
    <row r="17" spans="1:28" s="109" customFormat="1" ht="71.25" x14ac:dyDescent="0.25">
      <c r="A17" s="76" t="s">
        <v>47</v>
      </c>
      <c r="B17" s="76" t="s">
        <v>124</v>
      </c>
      <c r="C17" s="76" t="s">
        <v>157</v>
      </c>
      <c r="D17" s="76" t="s">
        <v>158</v>
      </c>
      <c r="E17" s="76" t="s">
        <v>159</v>
      </c>
      <c r="F17" s="76" t="s">
        <v>160</v>
      </c>
      <c r="G17" s="76"/>
      <c r="H17" s="76"/>
      <c r="I17" s="76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1"/>
      <c r="Z17" s="111"/>
      <c r="AA17" s="111"/>
      <c r="AB17" s="111"/>
    </row>
    <row r="18" spans="1:28" s="109" customFormat="1" ht="128.25" x14ac:dyDescent="0.25">
      <c r="A18" s="76" t="s">
        <v>48</v>
      </c>
      <c r="B18" s="76" t="s">
        <v>118</v>
      </c>
      <c r="C18" s="76" t="s">
        <v>161</v>
      </c>
      <c r="D18" s="76" t="s">
        <v>162</v>
      </c>
      <c r="E18" s="76" t="s">
        <v>163</v>
      </c>
      <c r="F18" s="76" t="s">
        <v>164</v>
      </c>
      <c r="G18" s="76"/>
      <c r="H18" s="76"/>
      <c r="I18" s="76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1"/>
      <c r="Z18" s="111"/>
      <c r="AA18" s="111"/>
      <c r="AB18" s="111"/>
    </row>
    <row r="19" spans="1:28" s="109" customFormat="1" ht="71.25" x14ac:dyDescent="0.25">
      <c r="A19" s="76" t="s">
        <v>49</v>
      </c>
      <c r="B19" s="76" t="s">
        <v>125</v>
      </c>
      <c r="C19" s="76" t="s">
        <v>165</v>
      </c>
      <c r="D19" s="76" t="s">
        <v>166</v>
      </c>
      <c r="E19" s="76" t="s">
        <v>167</v>
      </c>
      <c r="F19" s="76" t="s">
        <v>168</v>
      </c>
      <c r="G19" s="76"/>
      <c r="H19" s="76"/>
      <c r="I19" s="76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1"/>
      <c r="Z19" s="111"/>
      <c r="AA19" s="111"/>
      <c r="AB19" s="111"/>
    </row>
    <row r="20" spans="1:28" s="109" customFormat="1" ht="71.25" x14ac:dyDescent="0.25">
      <c r="A20" s="76" t="s">
        <v>50</v>
      </c>
      <c r="B20" s="76" t="s">
        <v>126</v>
      </c>
      <c r="C20" s="76" t="s">
        <v>161</v>
      </c>
      <c r="D20" s="76" t="s">
        <v>169</v>
      </c>
      <c r="E20" s="76" t="s">
        <v>137</v>
      </c>
      <c r="F20" s="76" t="s">
        <v>170</v>
      </c>
      <c r="G20" s="76"/>
      <c r="H20" s="76"/>
      <c r="I20" s="76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1"/>
      <c r="Z20" s="111"/>
      <c r="AA20" s="111"/>
      <c r="AB20" s="111"/>
    </row>
    <row r="21" spans="1:28" s="109" customFormat="1" ht="71.25" x14ac:dyDescent="0.25">
      <c r="A21" s="76" t="s">
        <v>131</v>
      </c>
      <c r="B21" s="76" t="s">
        <v>127</v>
      </c>
      <c r="C21" s="76" t="s">
        <v>161</v>
      </c>
      <c r="D21" s="76" t="s">
        <v>171</v>
      </c>
      <c r="E21" s="76" t="s">
        <v>172</v>
      </c>
      <c r="F21" s="76" t="s">
        <v>173</v>
      </c>
      <c r="G21" s="76"/>
      <c r="H21" s="76"/>
      <c r="I21" s="76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1"/>
      <c r="Z21" s="111"/>
      <c r="AA21" s="111"/>
      <c r="AB21" s="111"/>
    </row>
    <row r="22" spans="1:28" s="109" customFormat="1" ht="42.75" x14ac:dyDescent="0.25">
      <c r="A22" s="76" t="s">
        <v>132</v>
      </c>
      <c r="B22" s="76" t="s">
        <v>128</v>
      </c>
      <c r="C22" s="76" t="s">
        <v>157</v>
      </c>
      <c r="D22" s="76" t="s">
        <v>174</v>
      </c>
      <c r="E22" s="76" t="s">
        <v>32</v>
      </c>
      <c r="F22" s="76" t="s">
        <v>175</v>
      </c>
      <c r="G22" s="76"/>
      <c r="H22" s="76"/>
      <c r="I22" s="76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1"/>
      <c r="Z22" s="111"/>
      <c r="AA22" s="111"/>
      <c r="AB22" s="111"/>
    </row>
    <row r="23" spans="1:28" ht="57" x14ac:dyDescent="0.25">
      <c r="A23" s="76" t="s">
        <v>133</v>
      </c>
      <c r="B23" s="76" t="s">
        <v>129</v>
      </c>
      <c r="C23" s="76" t="s">
        <v>176</v>
      </c>
      <c r="D23" s="76" t="s">
        <v>177</v>
      </c>
      <c r="E23" s="76" t="s">
        <v>32</v>
      </c>
      <c r="F23" s="76" t="s">
        <v>178</v>
      </c>
      <c r="G23" s="76"/>
      <c r="H23" s="76"/>
      <c r="I23" s="7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7"/>
      <c r="Z23" s="77"/>
      <c r="AA23" s="77"/>
      <c r="AB23" s="77"/>
    </row>
    <row r="24" spans="1:28" ht="71.25" x14ac:dyDescent="0.25">
      <c r="A24" s="76" t="s">
        <v>134</v>
      </c>
      <c r="B24" s="76" t="s">
        <v>130</v>
      </c>
      <c r="C24" s="76" t="s">
        <v>147</v>
      </c>
      <c r="D24" s="76" t="s">
        <v>179</v>
      </c>
      <c r="E24" s="76" t="s">
        <v>180</v>
      </c>
      <c r="F24" s="76" t="s">
        <v>181</v>
      </c>
      <c r="G24" s="76"/>
      <c r="H24" s="76"/>
      <c r="I24" s="7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7"/>
      <c r="Z24" s="77"/>
      <c r="AA24" s="77"/>
      <c r="AB24" s="77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7"/>
      <c r="Z25" s="77"/>
      <c r="AA25" s="77"/>
      <c r="AB25" s="77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7"/>
      <c r="Z26" s="77"/>
      <c r="AA26" s="77"/>
      <c r="AB26" s="77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7"/>
      <c r="Z27" s="77"/>
      <c r="AA27" s="77"/>
      <c r="AB27" s="77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7"/>
      <c r="Z28" s="77"/>
      <c r="AA28" s="77"/>
      <c r="AB28" s="77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7"/>
      <c r="Z29" s="77"/>
      <c r="AA29" s="77"/>
      <c r="AB29" s="77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7"/>
      <c r="Z30" s="77"/>
      <c r="AA30" s="77"/>
      <c r="AB30" s="77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7"/>
      <c r="Z31" s="77"/>
      <c r="AA31" s="77"/>
      <c r="AB31" s="77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7"/>
      <c r="Z32" s="77"/>
      <c r="AA32" s="77"/>
      <c r="AB32" s="77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7"/>
      <c r="Z33" s="77"/>
      <c r="AA33" s="77"/>
      <c r="AB33" s="77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7"/>
      <c r="Z34" s="77"/>
      <c r="AA34" s="77"/>
      <c r="AB34" s="77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7"/>
      <c r="Z35" s="77"/>
      <c r="AA35" s="77"/>
      <c r="AB35" s="77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7"/>
      <c r="Z36" s="77"/>
      <c r="AA36" s="77"/>
      <c r="AB36" s="77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7"/>
      <c r="Z37" s="77"/>
      <c r="AA37" s="77"/>
      <c r="AB37" s="77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7"/>
      <c r="Z38" s="77"/>
      <c r="AA38" s="77"/>
      <c r="AB38" s="77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7"/>
      <c r="Z39" s="77"/>
      <c r="AA39" s="77"/>
      <c r="AB39" s="77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7"/>
      <c r="Z40" s="77"/>
      <c r="AA40" s="77"/>
      <c r="AB40" s="77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7"/>
      <c r="Z41" s="77"/>
      <c r="AA41" s="77"/>
      <c r="AB41" s="77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7"/>
      <c r="Z42" s="77"/>
      <c r="AA42" s="77"/>
      <c r="AB42" s="77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7"/>
      <c r="Z43" s="77"/>
      <c r="AA43" s="77"/>
      <c r="AB43" s="77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7"/>
      <c r="Z44" s="77"/>
      <c r="AA44" s="77"/>
      <c r="AB44" s="77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7"/>
      <c r="Z45" s="77"/>
      <c r="AA45" s="77"/>
      <c r="AB45" s="77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7"/>
      <c r="Z46" s="77"/>
      <c r="AA46" s="77"/>
      <c r="AB46" s="77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7"/>
      <c r="Z47" s="77"/>
      <c r="AA47" s="77"/>
      <c r="AB47" s="77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7"/>
      <c r="Z48" s="77"/>
      <c r="AA48" s="77"/>
      <c r="AB48" s="77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7"/>
      <c r="Z49" s="77"/>
      <c r="AA49" s="77"/>
      <c r="AB49" s="77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7"/>
      <c r="Z50" s="77"/>
      <c r="AA50" s="77"/>
      <c r="AB50" s="77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7"/>
      <c r="Z51" s="77"/>
      <c r="AA51" s="77"/>
      <c r="AB51" s="77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7"/>
      <c r="Z52" s="77"/>
      <c r="AA52" s="77"/>
      <c r="AB52" s="77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7"/>
      <c r="Z53" s="77"/>
      <c r="AA53" s="77"/>
      <c r="AB53" s="77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7"/>
      <c r="Z54" s="77"/>
      <c r="AA54" s="77"/>
      <c r="AB54" s="77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7"/>
      <c r="Z55" s="77"/>
      <c r="AA55" s="77"/>
      <c r="AB55" s="77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7"/>
      <c r="Z56" s="77"/>
      <c r="AA56" s="77"/>
      <c r="AB56" s="77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7"/>
      <c r="Z57" s="77"/>
      <c r="AA57" s="77"/>
      <c r="AB57" s="77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7"/>
      <c r="Z58" s="77"/>
      <c r="AA58" s="77"/>
      <c r="AB58" s="77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7"/>
      <c r="Z59" s="77"/>
      <c r="AA59" s="77"/>
      <c r="AB59" s="77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7"/>
      <c r="Z60" s="77"/>
      <c r="AA60" s="77"/>
      <c r="AB60" s="77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7"/>
      <c r="Z61" s="77"/>
      <c r="AA61" s="77"/>
      <c r="AB61" s="77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7"/>
      <c r="Z62" s="77"/>
      <c r="AA62" s="77"/>
      <c r="AB62" s="77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7"/>
      <c r="Z63" s="77"/>
      <c r="AA63" s="77"/>
      <c r="AB63" s="77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7"/>
      <c r="Z64" s="77"/>
      <c r="AA64" s="77"/>
      <c r="AB64" s="77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7"/>
      <c r="Z65" s="77"/>
      <c r="AA65" s="77"/>
      <c r="AB65" s="77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7"/>
      <c r="Z66" s="77"/>
      <c r="AA66" s="77"/>
      <c r="AB66" s="77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7"/>
      <c r="Z67" s="77"/>
      <c r="AA67" s="77"/>
      <c r="AB67" s="7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7"/>
      <c r="Z68" s="77"/>
      <c r="AA68" s="77"/>
      <c r="AB68" s="77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7"/>
      <c r="Z69" s="77"/>
      <c r="AA69" s="77"/>
      <c r="AB69" s="77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7"/>
      <c r="Z70" s="77"/>
      <c r="AA70" s="77"/>
      <c r="AB70" s="77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7"/>
      <c r="Z71" s="77"/>
      <c r="AA71" s="77"/>
      <c r="AB71" s="77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7"/>
      <c r="Z72" s="77"/>
      <c r="AA72" s="77"/>
      <c r="AB72" s="77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7"/>
      <c r="Z73" s="77"/>
      <c r="AA73" s="77"/>
      <c r="AB73" s="77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7"/>
      <c r="Z74" s="77"/>
      <c r="AA74" s="77"/>
      <c r="AB74" s="77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7"/>
      <c r="Z75" s="77"/>
      <c r="AA75" s="77"/>
      <c r="AB75" s="77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7"/>
      <c r="Z76" s="77"/>
      <c r="AA76" s="77"/>
      <c r="AB76" s="77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7"/>
      <c r="Z77" s="77"/>
      <c r="AA77" s="77"/>
      <c r="AB77" s="77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7"/>
      <c r="Z78" s="77"/>
      <c r="AA78" s="77"/>
      <c r="AB78" s="77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7"/>
      <c r="Z79" s="77"/>
      <c r="AA79" s="77"/>
      <c r="AB79" s="77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7"/>
      <c r="Z80" s="77"/>
      <c r="AA80" s="77"/>
      <c r="AB80" s="77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7"/>
      <c r="Z81" s="77"/>
      <c r="AA81" s="77"/>
      <c r="AB81" s="77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7"/>
      <c r="Z82" s="77"/>
      <c r="AA82" s="77"/>
      <c r="AB82" s="77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7"/>
      <c r="Z83" s="77"/>
      <c r="AA83" s="77"/>
      <c r="AB83" s="77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7"/>
      <c r="Z84" s="77"/>
      <c r="AA84" s="77"/>
      <c r="AB84" s="77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7"/>
      <c r="Z85" s="77"/>
      <c r="AA85" s="77"/>
      <c r="AB85" s="77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7"/>
      <c r="Z86" s="77"/>
      <c r="AA86" s="77"/>
      <c r="AB86" s="77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7"/>
      <c r="Z87" s="77"/>
      <c r="AA87" s="77"/>
      <c r="AB87" s="77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7"/>
      <c r="Z88" s="77"/>
      <c r="AA88" s="77"/>
      <c r="AB88" s="77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7"/>
      <c r="Z89" s="77"/>
      <c r="AA89" s="77"/>
      <c r="AB89" s="77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7"/>
      <c r="Z90" s="77"/>
      <c r="AA90" s="77"/>
      <c r="AB90" s="77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7"/>
      <c r="Z91" s="77"/>
      <c r="AA91" s="77"/>
      <c r="AB91" s="77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7"/>
      <c r="Z92" s="77"/>
      <c r="AA92" s="77"/>
      <c r="AB92" s="77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7"/>
      <c r="Z93" s="77"/>
      <c r="AA93" s="77"/>
      <c r="AB93" s="77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7"/>
      <c r="Z94" s="77"/>
      <c r="AA94" s="77"/>
      <c r="AB94" s="77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7"/>
      <c r="Z95" s="77"/>
      <c r="AA95" s="77"/>
      <c r="AB95" s="77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7"/>
      <c r="Z96" s="77"/>
      <c r="AA96" s="77"/>
      <c r="AB96" s="77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7"/>
      <c r="Z97" s="77"/>
      <c r="AA97" s="77"/>
      <c r="AB97" s="77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7"/>
      <c r="Z98" s="77"/>
      <c r="AA98" s="77"/>
      <c r="AB98" s="77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7"/>
      <c r="Z99" s="77"/>
      <c r="AA99" s="77"/>
      <c r="AB99" s="77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7"/>
      <c r="Z100" s="77"/>
      <c r="AA100" s="77"/>
      <c r="AB100" s="77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7"/>
      <c r="Z101" s="77"/>
      <c r="AA101" s="77"/>
      <c r="AB101" s="77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7"/>
      <c r="Z102" s="77"/>
      <c r="AA102" s="77"/>
      <c r="AB102" s="77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7"/>
      <c r="Z103" s="77"/>
      <c r="AA103" s="77"/>
      <c r="AB103" s="77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7"/>
      <c r="Z104" s="77"/>
      <c r="AA104" s="77"/>
      <c r="AB104" s="77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7"/>
      <c r="Z105" s="77"/>
      <c r="AA105" s="77"/>
      <c r="AB105" s="77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7"/>
      <c r="Z106" s="77"/>
      <c r="AA106" s="77"/>
      <c r="AB106" s="77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7"/>
      <c r="Z107" s="77"/>
      <c r="AA107" s="77"/>
      <c r="AB107" s="77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7"/>
      <c r="Z108" s="77"/>
      <c r="AA108" s="77"/>
      <c r="AB108" s="77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7"/>
      <c r="Z109" s="77"/>
      <c r="AA109" s="77"/>
      <c r="AB109" s="77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7"/>
      <c r="Z110" s="77"/>
      <c r="AA110" s="77"/>
      <c r="AB110" s="77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7"/>
      <c r="Z111" s="77"/>
      <c r="AA111" s="77"/>
      <c r="AB111" s="77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7"/>
      <c r="Z112" s="77"/>
      <c r="AA112" s="77"/>
      <c r="AB112" s="77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7"/>
      <c r="Z113" s="77"/>
      <c r="AA113" s="77"/>
      <c r="AB113" s="77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7"/>
      <c r="Z114" s="77"/>
      <c r="AA114" s="77"/>
      <c r="AB114" s="77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7"/>
      <c r="Z115" s="77"/>
      <c r="AA115" s="77"/>
      <c r="AB115" s="77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7"/>
      <c r="Z116" s="77"/>
      <c r="AA116" s="77"/>
      <c r="AB116" s="77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7"/>
      <c r="Z117" s="77"/>
      <c r="AA117" s="77"/>
      <c r="AB117" s="77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7"/>
      <c r="Z118" s="77"/>
      <c r="AA118" s="77"/>
      <c r="AB118" s="77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7"/>
      <c r="Z119" s="77"/>
      <c r="AA119" s="77"/>
      <c r="AB119" s="77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7"/>
      <c r="Z120" s="77"/>
      <c r="AA120" s="77"/>
      <c r="AB120" s="77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7"/>
      <c r="Z121" s="77"/>
      <c r="AA121" s="77"/>
      <c r="AB121" s="77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7"/>
      <c r="Z122" s="77"/>
      <c r="AA122" s="77"/>
      <c r="AB122" s="77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7"/>
      <c r="Z123" s="77"/>
      <c r="AA123" s="77"/>
      <c r="AB123" s="77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7"/>
      <c r="Z124" s="77"/>
      <c r="AA124" s="77"/>
      <c r="AB124" s="77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7"/>
      <c r="Z125" s="77"/>
      <c r="AA125" s="77"/>
      <c r="AB125" s="77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7"/>
      <c r="Z126" s="77"/>
      <c r="AA126" s="77"/>
      <c r="AB126" s="77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7"/>
      <c r="Z127" s="77"/>
      <c r="AA127" s="77"/>
      <c r="AB127" s="77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7"/>
      <c r="Z128" s="77"/>
      <c r="AA128" s="77"/>
      <c r="AB128" s="77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7"/>
      <c r="Z129" s="77"/>
      <c r="AA129" s="77"/>
      <c r="AB129" s="77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7"/>
      <c r="Z130" s="77"/>
      <c r="AA130" s="77"/>
      <c r="AB130" s="77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7"/>
      <c r="Z131" s="77"/>
      <c r="AA131" s="77"/>
      <c r="AB131" s="77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7"/>
      <c r="Z132" s="77"/>
      <c r="AA132" s="77"/>
      <c r="AB132" s="77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7"/>
      <c r="Z133" s="77"/>
      <c r="AA133" s="77"/>
      <c r="AB133" s="77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7"/>
      <c r="Z134" s="77"/>
      <c r="AA134" s="77"/>
      <c r="AB134" s="77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7"/>
      <c r="Z135" s="77"/>
      <c r="AA135" s="77"/>
      <c r="AB135" s="77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7"/>
      <c r="Z136" s="77"/>
      <c r="AA136" s="77"/>
      <c r="AB136" s="77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7"/>
      <c r="Z137" s="77"/>
      <c r="AA137" s="77"/>
      <c r="AB137" s="77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7"/>
      <c r="Z138" s="77"/>
      <c r="AA138" s="77"/>
      <c r="AB138" s="77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7"/>
      <c r="Z139" s="77"/>
      <c r="AA139" s="77"/>
      <c r="AB139" s="77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7"/>
      <c r="Z140" s="77"/>
      <c r="AA140" s="77"/>
      <c r="AB140" s="77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7"/>
      <c r="Z141" s="77"/>
      <c r="AA141" s="77"/>
      <c r="AB141" s="77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7"/>
      <c r="Z142" s="77"/>
      <c r="AA142" s="77"/>
      <c r="AB142" s="77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7"/>
      <c r="Z143" s="77"/>
      <c r="AA143" s="77"/>
      <c r="AB143" s="77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7"/>
      <c r="Z144" s="77"/>
      <c r="AA144" s="77"/>
      <c r="AB144" s="77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7"/>
      <c r="Z145" s="77"/>
      <c r="AA145" s="77"/>
      <c r="AB145" s="77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7"/>
      <c r="Z146" s="77"/>
      <c r="AA146" s="77"/>
      <c r="AB146" s="77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7"/>
      <c r="Z147" s="77"/>
      <c r="AA147" s="77"/>
      <c r="AB147" s="77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7"/>
      <c r="Z148" s="77"/>
      <c r="AA148" s="77"/>
      <c r="AB148" s="77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7"/>
      <c r="Z149" s="77"/>
      <c r="AA149" s="77"/>
      <c r="AB149" s="77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7"/>
      <c r="Z150" s="77"/>
      <c r="AA150" s="77"/>
      <c r="AB150" s="77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7"/>
      <c r="Z151" s="77"/>
      <c r="AA151" s="77"/>
      <c r="AB151" s="77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7"/>
      <c r="Z152" s="77"/>
      <c r="AA152" s="77"/>
      <c r="AB152" s="77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7"/>
      <c r="Z153" s="77"/>
      <c r="AA153" s="77"/>
      <c r="AB153" s="77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7"/>
      <c r="Z154" s="77"/>
      <c r="AA154" s="77"/>
      <c r="AB154" s="77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7"/>
      <c r="Z155" s="77"/>
      <c r="AA155" s="77"/>
      <c r="AB155" s="77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7"/>
      <c r="Z156" s="77"/>
      <c r="AA156" s="77"/>
      <c r="AB156" s="77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7"/>
      <c r="Z157" s="77"/>
      <c r="AA157" s="77"/>
      <c r="AB157" s="77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7"/>
      <c r="Z158" s="77"/>
      <c r="AA158" s="77"/>
      <c r="AB158" s="77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7"/>
      <c r="Z159" s="77"/>
      <c r="AA159" s="77"/>
      <c r="AB159" s="77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7"/>
      <c r="Z160" s="77"/>
      <c r="AA160" s="77"/>
      <c r="AB160" s="77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7"/>
      <c r="Z161" s="77"/>
      <c r="AA161" s="77"/>
      <c r="AB161" s="77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7"/>
      <c r="Z162" s="77"/>
      <c r="AA162" s="77"/>
      <c r="AB162" s="77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7"/>
      <c r="Z163" s="77"/>
      <c r="AA163" s="77"/>
      <c r="AB163" s="77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7"/>
      <c r="Z164" s="77"/>
      <c r="AA164" s="77"/>
      <c r="AB164" s="77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7"/>
      <c r="Z165" s="77"/>
      <c r="AA165" s="77"/>
      <c r="AB165" s="77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7"/>
      <c r="Z166" s="77"/>
      <c r="AA166" s="77"/>
      <c r="AB166" s="77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7"/>
      <c r="Z167" s="77"/>
      <c r="AA167" s="77"/>
      <c r="AB167" s="77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7"/>
      <c r="Z168" s="77"/>
      <c r="AA168" s="77"/>
      <c r="AB168" s="77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7"/>
      <c r="Z169" s="77"/>
      <c r="AA169" s="77"/>
      <c r="AB169" s="77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7"/>
      <c r="Z170" s="77"/>
      <c r="AA170" s="77"/>
      <c r="AB170" s="77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7"/>
      <c r="Z171" s="77"/>
      <c r="AA171" s="77"/>
      <c r="AB171" s="77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7"/>
      <c r="Z172" s="77"/>
      <c r="AA172" s="77"/>
      <c r="AB172" s="77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7"/>
      <c r="Z173" s="77"/>
      <c r="AA173" s="77"/>
      <c r="AB173" s="77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7"/>
      <c r="Z174" s="77"/>
      <c r="AA174" s="77"/>
      <c r="AB174" s="77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7"/>
      <c r="Z175" s="77"/>
      <c r="AA175" s="77"/>
      <c r="AB175" s="77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7"/>
      <c r="Z176" s="77"/>
      <c r="AA176" s="77"/>
      <c r="AB176" s="77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7"/>
      <c r="Z177" s="77"/>
      <c r="AA177" s="77"/>
      <c r="AB177" s="77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 spans="1:28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 spans="1:28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 spans="1:28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 spans="1:28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 spans="1:28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 spans="1:28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 spans="1:28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 spans="1:28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 spans="1:28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 spans="1:28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 spans="1:28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 spans="1:28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 spans="1:28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 spans="1:28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 spans="1:28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 spans="1:28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 spans="1:28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 spans="1:28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 spans="1:28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 spans="1:28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 spans="1:28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 spans="1:28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 spans="1:28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 spans="1:28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 spans="1:28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 spans="1:28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 spans="1:28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 spans="1:28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 spans="1:28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 spans="1:28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 spans="1:28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 spans="1:28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 spans="1:28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 spans="1:28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 spans="1:28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 spans="1:28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 spans="1:28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 spans="1:28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 spans="1:28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 spans="1:28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 spans="1:28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 spans="1:28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 spans="1:28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 spans="1:28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 spans="1:28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 spans="1:28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 spans="1:28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 spans="1:28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 spans="1:28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 spans="1:28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 spans="1:28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 spans="1:28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 spans="1:28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 spans="1:28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 spans="1:28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 spans="1:28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 spans="1:28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 spans="1:28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 spans="1:28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 spans="1:28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 spans="1:28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 spans="1:28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 spans="1:28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 spans="1:28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 spans="1:28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 spans="1:28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 spans="1:28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 spans="1:28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 spans="1:28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 spans="1:28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 spans="1:28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 spans="1:28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 spans="1:28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 spans="1:28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 spans="1:28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 spans="1:28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 spans="1:28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 spans="1:28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 spans="1:28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 spans="1:28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 spans="1:28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 spans="1:28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 spans="1:28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 spans="1:28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 spans="1:28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 spans="1:28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 spans="1:28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 spans="1:28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 spans="1:28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 spans="1:28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 spans="1:28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 spans="1:28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 spans="1:28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 spans="1:28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 spans="1:28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 spans="1:28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 spans="1:28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 spans="1:28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 spans="1:28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 spans="1:28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 spans="1:28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 spans="1:28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 spans="1:28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 spans="1:28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 spans="1:28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 spans="1:28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 spans="1:28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 spans="1:28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 spans="1:28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 spans="1:28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 spans="1:28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 spans="1:28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 spans="1:28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 spans="1:28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 spans="1:28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 spans="1:28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 spans="1:28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 spans="1:28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 spans="1:28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 spans="1:28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 spans="1:28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 spans="1:28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 spans="1:28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 spans="1:28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 spans="1:28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 spans="1:28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 spans="1:28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 spans="1:28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 spans="1:28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 spans="1:28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 spans="1:28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 spans="1:28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 spans="1:28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 spans="1:28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 spans="1:28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 spans="1:28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 spans="1:28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 spans="1:28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 spans="1:28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 spans="1:28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 spans="1:28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 spans="1:28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 spans="1:28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 spans="1:28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 spans="1:28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 spans="1:28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 spans="1:28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 spans="1:28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 spans="1:28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 spans="1:28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 spans="1:28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 spans="1:28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 spans="1:28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 spans="1:28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 spans="1:28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 spans="1:28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 spans="1:28" x14ac:dyDescent="0.25">
      <c r="A955" s="77"/>
      <c r="B955" s="77"/>
      <c r="C955" s="77"/>
      <c r="D955" s="77"/>
      <c r="E955" s="77"/>
      <c r="F955" s="77"/>
      <c r="G955" s="77"/>
      <c r="H955" s="77"/>
      <c r="I955" s="77"/>
    </row>
    <row r="956" spans="1:28" x14ac:dyDescent="0.25">
      <c r="A956" s="77"/>
      <c r="B956" s="77"/>
      <c r="C956" s="77"/>
      <c r="D956" s="77"/>
      <c r="E956" s="77"/>
      <c r="F956" s="77"/>
      <c r="G956" s="77"/>
      <c r="H956" s="77"/>
      <c r="I956" s="77"/>
    </row>
    <row r="957" spans="1:28" x14ac:dyDescent="0.25">
      <c r="A957" s="77"/>
      <c r="B957" s="77"/>
      <c r="C957" s="77"/>
      <c r="D957" s="77"/>
      <c r="E957" s="77"/>
      <c r="F957" s="77"/>
      <c r="G957" s="77"/>
      <c r="H957" s="77"/>
      <c r="I957" s="77"/>
    </row>
    <row r="958" spans="1:28" x14ac:dyDescent="0.25">
      <c r="A958" s="77"/>
      <c r="B958" s="77"/>
      <c r="C958" s="77"/>
      <c r="D958" s="77"/>
      <c r="E958" s="77"/>
      <c r="F958" s="77"/>
      <c r="G958" s="77"/>
      <c r="H958" s="77"/>
      <c r="I958" s="77"/>
    </row>
    <row r="959" spans="1:28" x14ac:dyDescent="0.25">
      <c r="A959" s="77"/>
      <c r="B959" s="77"/>
      <c r="C959" s="77"/>
      <c r="D959" s="77"/>
      <c r="E959" s="77"/>
      <c r="F959" s="77"/>
      <c r="G959" s="77"/>
      <c r="H959" s="77"/>
      <c r="I959" s="77"/>
    </row>
    <row r="960" spans="1:28" x14ac:dyDescent="0.25">
      <c r="A960" s="77"/>
      <c r="B960" s="77"/>
      <c r="C960" s="77"/>
      <c r="D960" s="77"/>
      <c r="E960" s="77"/>
      <c r="F960" s="77"/>
      <c r="G960" s="77"/>
      <c r="H960" s="77"/>
      <c r="I960" s="77"/>
    </row>
    <row r="961" spans="1:9" x14ac:dyDescent="0.25">
      <c r="A961" s="77"/>
      <c r="B961" s="77"/>
      <c r="C961" s="77"/>
      <c r="D961" s="77"/>
      <c r="E961" s="77"/>
      <c r="F961" s="77"/>
      <c r="G961" s="77"/>
      <c r="H961" s="77"/>
      <c r="I961" s="77"/>
    </row>
    <row r="962" spans="1:9" x14ac:dyDescent="0.25">
      <c r="A962" s="77"/>
      <c r="B962" s="77"/>
      <c r="C962" s="77"/>
      <c r="D962" s="77"/>
      <c r="E962" s="77"/>
      <c r="F962" s="77"/>
      <c r="G962" s="77"/>
      <c r="H962" s="77"/>
      <c r="I962" s="77"/>
    </row>
    <row r="963" spans="1:9" x14ac:dyDescent="0.25">
      <c r="A963" s="77"/>
      <c r="B963" s="77"/>
      <c r="C963" s="77"/>
      <c r="D963" s="77"/>
      <c r="E963" s="77"/>
      <c r="F963" s="77"/>
      <c r="G963" s="77"/>
      <c r="H963" s="77"/>
      <c r="I963" s="77"/>
    </row>
    <row r="964" spans="1:9" x14ac:dyDescent="0.25">
      <c r="A964" s="77"/>
      <c r="B964" s="77"/>
      <c r="C964" s="77"/>
      <c r="D964" s="77"/>
      <c r="E964" s="77"/>
      <c r="F964" s="77"/>
      <c r="G964" s="77"/>
      <c r="H964" s="77"/>
      <c r="I964" s="77"/>
    </row>
    <row r="965" spans="1:9" x14ac:dyDescent="0.25">
      <c r="A965" s="77"/>
      <c r="B965" s="77"/>
      <c r="C965" s="77"/>
      <c r="D965" s="77"/>
      <c r="E965" s="77"/>
      <c r="F965" s="77"/>
      <c r="G965" s="77"/>
      <c r="H965" s="77"/>
      <c r="I965" s="77"/>
    </row>
  </sheetData>
  <mergeCells count="1">
    <mergeCell ref="B2:I2"/>
  </mergeCells>
  <phoneticPr fontId="18" type="noConversion"/>
  <dataValidations count="1">
    <dataValidation type="list" allowBlank="1" showInputMessage="1" showErrorMessage="1" sqref="H11:H24" xr:uid="{F2EA0937-C695-48FF-85D4-F30DEE745ED8}">
      <formula1>"'Pass,'Fail,'Untest,'N/A"</formula1>
    </dataValidation>
  </dataValidations>
  <hyperlinks>
    <hyperlink ref="B4" location="null!A1" display="Back to TestReport" xr:uid="{0909FB56-39CD-47E8-BEAF-2FC9C56DB61F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2B97-CAF0-415B-91F2-F78FA4468FD5}">
  <dimension ref="A1:AB966"/>
  <sheetViews>
    <sheetView topLeftCell="A16" workbookViewId="0">
      <selection activeCell="H5" sqref="H5"/>
    </sheetView>
  </sheetViews>
  <sheetFormatPr defaultColWidth="14.42578125" defaultRowHeight="15" x14ac:dyDescent="0.25"/>
  <cols>
    <col min="1" max="1" width="16.42578125" customWidth="1"/>
    <col min="2" max="2" width="27.28515625" bestFit="1" customWidth="1"/>
    <col min="3" max="3" width="26" customWidth="1"/>
    <col min="4" max="4" width="26.5703125" customWidth="1"/>
    <col min="5" max="5" width="29.140625" customWidth="1"/>
    <col min="6" max="6" width="38.28515625" customWidth="1"/>
    <col min="7" max="7" width="11.28515625" customWidth="1"/>
    <col min="8" max="8" width="18" bestFit="1" customWidth="1"/>
    <col min="9" max="9" width="11.140625" customWidth="1"/>
    <col min="10" max="17" width="10.28515625" customWidth="1"/>
    <col min="18" max="24" width="9.140625" customWidth="1"/>
    <col min="25" max="28" width="17.28515625" customWidth="1"/>
  </cols>
  <sheetData>
    <row r="1" spans="1:28" s="49" customFormat="1" x14ac:dyDescent="0.25"/>
    <row r="2" spans="1:28" s="49" customFormat="1" ht="25.5" customHeight="1" x14ac:dyDescent="0.4">
      <c r="A2" s="51"/>
      <c r="B2" s="130" t="s">
        <v>280</v>
      </c>
      <c r="C2" s="130"/>
      <c r="D2" s="130"/>
      <c r="E2" s="130"/>
      <c r="F2" s="130"/>
      <c r="G2" s="130"/>
      <c r="H2" s="130"/>
      <c r="I2" s="130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8" s="49" customFormat="1" ht="15.75" thickBot="1" x14ac:dyDescent="0.3">
      <c r="A3" s="107"/>
      <c r="B3" s="53"/>
      <c r="C3" s="53"/>
      <c r="D3" s="53"/>
      <c r="E3" s="53"/>
      <c r="F3" s="53"/>
      <c r="G3" s="107"/>
      <c r="H3" s="107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108"/>
      <c r="Z3" s="108"/>
      <c r="AA3" s="108"/>
    </row>
    <row r="4" spans="1:28" x14ac:dyDescent="0.25">
      <c r="A4" s="54"/>
      <c r="B4" s="55" t="s">
        <v>24</v>
      </c>
      <c r="C4" s="55" t="str">
        <f>HYPERLINK("#'Test case List'!A1","Test case List")</f>
        <v>Test case List</v>
      </c>
      <c r="D4" s="54"/>
      <c r="E4" s="54"/>
      <c r="F4" s="54"/>
      <c r="G4" s="56" t="s">
        <v>25</v>
      </c>
      <c r="H4" s="57">
        <f>COUNTIF($A$11:$A$832, "REGISTER*")</f>
        <v>13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7"/>
      <c r="Z4" s="37"/>
      <c r="AA4" s="37"/>
      <c r="AB4" s="37"/>
    </row>
    <row r="5" spans="1:28" x14ac:dyDescent="0.25">
      <c r="A5" s="54"/>
      <c r="B5" s="58" t="s">
        <v>26</v>
      </c>
      <c r="C5" s="59" t="s">
        <v>112</v>
      </c>
      <c r="D5" s="54"/>
      <c r="E5" s="54"/>
      <c r="F5" s="54"/>
      <c r="G5" s="60" t="s">
        <v>27</v>
      </c>
      <c r="H5" s="61">
        <f>(COUNTIF(H11:H19,"Pass"))</f>
        <v>0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7"/>
      <c r="Z5" s="37"/>
      <c r="AA5" s="37"/>
      <c r="AB5" s="37"/>
    </row>
    <row r="6" spans="1:28" ht="15.75" thickBot="1" x14ac:dyDescent="0.3">
      <c r="A6" s="54"/>
      <c r="B6" s="62" t="s">
        <v>28</v>
      </c>
      <c r="C6" s="63"/>
      <c r="D6" s="54"/>
      <c r="E6" s="54"/>
      <c r="F6" s="54"/>
      <c r="G6" s="60" t="s">
        <v>29</v>
      </c>
      <c r="H6" s="61">
        <f>(COUNTIF(H11:H19,"Fail"))</f>
        <v>0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7"/>
      <c r="Z6" s="37"/>
      <c r="AA6" s="37"/>
      <c r="AB6" s="37"/>
    </row>
    <row r="7" spans="1:28" ht="15.75" thickBot="1" x14ac:dyDescent="0.3">
      <c r="A7" s="54"/>
      <c r="B7" s="64"/>
      <c r="C7" s="64"/>
      <c r="D7" s="54"/>
      <c r="E7" s="54"/>
      <c r="F7" s="54"/>
      <c r="G7" s="60" t="s">
        <v>30</v>
      </c>
      <c r="H7" s="61">
        <f>(COUNTIF(H11:H19,"Untest"))</f>
        <v>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37"/>
      <c r="Z7" s="37"/>
      <c r="AA7" s="37"/>
      <c r="AB7" s="37"/>
    </row>
    <row r="8" spans="1:28" ht="15.75" thickBot="1" x14ac:dyDescent="0.3">
      <c r="A8" s="64"/>
      <c r="B8" s="65" t="s">
        <v>31</v>
      </c>
      <c r="C8" s="66" t="str">
        <f>ROUND((H5 / (H4-H8))*100,2)&amp;"%"</f>
        <v>0%</v>
      </c>
      <c r="D8" s="54"/>
      <c r="E8" s="54"/>
      <c r="F8" s="54"/>
      <c r="G8" s="67" t="s">
        <v>32</v>
      </c>
      <c r="H8" s="68">
        <f>(COUNTIF(H11:H19,"N/A"))</f>
        <v>0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37"/>
      <c r="Z8" s="37"/>
      <c r="AA8" s="37"/>
      <c r="AB8" s="37"/>
    </row>
    <row r="9" spans="1:28" x14ac:dyDescent="0.25">
      <c r="A9" s="69"/>
      <c r="B9" s="69"/>
      <c r="C9" s="69"/>
      <c r="D9" s="70"/>
      <c r="E9" s="70"/>
      <c r="F9" s="71"/>
      <c r="G9" s="71"/>
      <c r="H9" s="71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7"/>
      <c r="Z9" s="77"/>
      <c r="AA9" s="77"/>
      <c r="AB9" s="77"/>
    </row>
    <row r="10" spans="1:28" x14ac:dyDescent="0.25">
      <c r="A10" s="72" t="s">
        <v>33</v>
      </c>
      <c r="B10" s="72" t="s">
        <v>34</v>
      </c>
      <c r="C10" s="73" t="s">
        <v>8</v>
      </c>
      <c r="D10" s="72" t="s">
        <v>35</v>
      </c>
      <c r="E10" s="73" t="s">
        <v>36</v>
      </c>
      <c r="F10" s="72" t="s">
        <v>37</v>
      </c>
      <c r="G10" s="74" t="s">
        <v>38</v>
      </c>
      <c r="H10" s="75" t="s">
        <v>39</v>
      </c>
      <c r="I10" s="73" t="s">
        <v>40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7"/>
      <c r="AB10" s="77"/>
    </row>
    <row r="11" spans="1:28" ht="85.5" x14ac:dyDescent="0.25">
      <c r="A11" s="76" t="s">
        <v>51</v>
      </c>
      <c r="B11" s="76" t="s">
        <v>182</v>
      </c>
      <c r="C11" s="76" t="s">
        <v>183</v>
      </c>
      <c r="D11" s="76" t="s">
        <v>184</v>
      </c>
      <c r="E11" s="76" t="s">
        <v>185</v>
      </c>
      <c r="F11" s="76" t="s">
        <v>186</v>
      </c>
      <c r="G11" s="76"/>
      <c r="H11" s="76"/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77"/>
      <c r="AB11" s="77"/>
    </row>
    <row r="12" spans="1:28" ht="71.25" x14ac:dyDescent="0.25">
      <c r="A12" s="76" t="s">
        <v>52</v>
      </c>
      <c r="B12" s="76" t="s">
        <v>187</v>
      </c>
      <c r="C12" s="76" t="s">
        <v>188</v>
      </c>
      <c r="D12" s="76" t="s">
        <v>189</v>
      </c>
      <c r="E12" s="76" t="s">
        <v>190</v>
      </c>
      <c r="F12" s="76" t="s">
        <v>191</v>
      </c>
      <c r="G12" s="76"/>
      <c r="H12" s="76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7"/>
      <c r="Z12" s="77"/>
      <c r="AA12" s="77"/>
      <c r="AB12" s="77"/>
    </row>
    <row r="13" spans="1:28" ht="42.75" x14ac:dyDescent="0.25">
      <c r="A13" s="76" t="s">
        <v>53</v>
      </c>
      <c r="B13" s="76" t="s">
        <v>192</v>
      </c>
      <c r="C13" s="76" t="s">
        <v>193</v>
      </c>
      <c r="D13" s="76" t="s">
        <v>194</v>
      </c>
      <c r="E13" s="76" t="s">
        <v>195</v>
      </c>
      <c r="F13" s="76" t="s">
        <v>196</v>
      </c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7"/>
      <c r="Z13" s="77"/>
      <c r="AA13" s="77"/>
      <c r="AB13" s="77"/>
    </row>
    <row r="14" spans="1:28" ht="71.25" x14ac:dyDescent="0.25">
      <c r="A14" s="76" t="s">
        <v>54</v>
      </c>
      <c r="B14" s="76" t="s">
        <v>197</v>
      </c>
      <c r="C14" s="76" t="s">
        <v>198</v>
      </c>
      <c r="D14" s="76" t="s">
        <v>199</v>
      </c>
      <c r="E14" s="76" t="s">
        <v>200</v>
      </c>
      <c r="F14" s="76" t="s">
        <v>201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7"/>
      <c r="Z14" s="77"/>
      <c r="AA14" s="77"/>
      <c r="AB14" s="77"/>
    </row>
    <row r="15" spans="1:28" ht="57" x14ac:dyDescent="0.25">
      <c r="A15" s="76" t="s">
        <v>55</v>
      </c>
      <c r="B15" s="76" t="s">
        <v>202</v>
      </c>
      <c r="C15" s="76" t="s">
        <v>198</v>
      </c>
      <c r="D15" s="76" t="s">
        <v>203</v>
      </c>
      <c r="E15" s="76" t="s">
        <v>204</v>
      </c>
      <c r="F15" s="76" t="s">
        <v>205</v>
      </c>
      <c r="G15" s="76"/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77"/>
      <c r="AB15" s="77"/>
    </row>
    <row r="16" spans="1:28" ht="57" x14ac:dyDescent="0.25">
      <c r="A16" s="76" t="s">
        <v>56</v>
      </c>
      <c r="B16" s="76" t="s">
        <v>206</v>
      </c>
      <c r="C16" s="76" t="s">
        <v>198</v>
      </c>
      <c r="D16" s="76" t="s">
        <v>207</v>
      </c>
      <c r="E16" s="76" t="s">
        <v>208</v>
      </c>
      <c r="F16" s="76" t="s">
        <v>209</v>
      </c>
      <c r="G16" s="76"/>
      <c r="H16" s="76"/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77"/>
      <c r="Z16" s="77"/>
      <c r="AA16" s="77"/>
      <c r="AB16" s="77"/>
    </row>
    <row r="17" spans="1:28" ht="71.25" x14ac:dyDescent="0.25">
      <c r="A17" s="76" t="s">
        <v>57</v>
      </c>
      <c r="B17" s="76" t="s">
        <v>210</v>
      </c>
      <c r="C17" s="76" t="s">
        <v>198</v>
      </c>
      <c r="D17" s="76" t="s">
        <v>211</v>
      </c>
      <c r="E17" s="76" t="s">
        <v>159</v>
      </c>
      <c r="F17" s="76" t="s">
        <v>212</v>
      </c>
      <c r="G17" s="76"/>
      <c r="H17" s="76"/>
      <c r="I17" s="7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7"/>
      <c r="Z17" s="77"/>
      <c r="AA17" s="77"/>
      <c r="AB17" s="77"/>
    </row>
    <row r="18" spans="1:28" ht="57" x14ac:dyDescent="0.25">
      <c r="A18" s="76" t="s">
        <v>58</v>
      </c>
      <c r="B18" s="76" t="s">
        <v>213</v>
      </c>
      <c r="C18" s="76" t="s">
        <v>198</v>
      </c>
      <c r="D18" s="76" t="s">
        <v>214</v>
      </c>
      <c r="E18" s="76" t="s">
        <v>215</v>
      </c>
      <c r="F18" s="76" t="s">
        <v>216</v>
      </c>
      <c r="G18" s="76"/>
      <c r="H18" s="76"/>
      <c r="I18" s="7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7"/>
      <c r="Z18" s="77"/>
      <c r="AA18" s="77"/>
      <c r="AB18" s="77"/>
    </row>
    <row r="19" spans="1:28" ht="71.25" x14ac:dyDescent="0.25">
      <c r="A19" s="76" t="s">
        <v>59</v>
      </c>
      <c r="B19" s="76" t="s">
        <v>217</v>
      </c>
      <c r="C19" s="76" t="s">
        <v>218</v>
      </c>
      <c r="D19" s="76" t="s">
        <v>219</v>
      </c>
      <c r="E19" s="76" t="s">
        <v>220</v>
      </c>
      <c r="F19" s="76" t="s">
        <v>221</v>
      </c>
      <c r="G19" s="76"/>
      <c r="H19" s="76"/>
      <c r="I19" s="7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7"/>
      <c r="Z19" s="77"/>
      <c r="AA19" s="77"/>
      <c r="AB19" s="77"/>
    </row>
    <row r="20" spans="1:28" ht="57" x14ac:dyDescent="0.25">
      <c r="A20" s="76" t="s">
        <v>60</v>
      </c>
      <c r="B20" s="76" t="s">
        <v>222</v>
      </c>
      <c r="C20" s="76" t="s">
        <v>198</v>
      </c>
      <c r="D20" s="76" t="s">
        <v>223</v>
      </c>
      <c r="E20" s="76" t="s">
        <v>180</v>
      </c>
      <c r="F20" s="76" t="s">
        <v>224</v>
      </c>
      <c r="G20" s="76"/>
      <c r="H20" s="76"/>
      <c r="I20" s="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7"/>
      <c r="Z20" s="77"/>
      <c r="AA20" s="77"/>
      <c r="AB20" s="77"/>
    </row>
    <row r="21" spans="1:28" ht="71.25" x14ac:dyDescent="0.25">
      <c r="A21" s="76" t="s">
        <v>236</v>
      </c>
      <c r="B21" s="76" t="s">
        <v>225</v>
      </c>
      <c r="C21" s="76" t="s">
        <v>198</v>
      </c>
      <c r="D21" s="76" t="s">
        <v>226</v>
      </c>
      <c r="E21" s="76" t="s">
        <v>227</v>
      </c>
      <c r="F21" s="76" t="s">
        <v>228</v>
      </c>
      <c r="G21" s="76"/>
      <c r="H21" s="76"/>
      <c r="I21" s="7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7"/>
      <c r="Z21" s="77"/>
      <c r="AA21" s="77"/>
      <c r="AB21" s="77"/>
    </row>
    <row r="22" spans="1:28" ht="57" x14ac:dyDescent="0.25">
      <c r="A22" s="76" t="s">
        <v>237</v>
      </c>
      <c r="B22" s="76" t="s">
        <v>229</v>
      </c>
      <c r="C22" s="76" t="s">
        <v>230</v>
      </c>
      <c r="D22" s="76" t="s">
        <v>231</v>
      </c>
      <c r="E22" s="76" t="s">
        <v>32</v>
      </c>
      <c r="F22" s="76" t="s">
        <v>232</v>
      </c>
      <c r="G22" s="76"/>
      <c r="H22" s="76"/>
      <c r="I22" s="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7"/>
      <c r="Z22" s="77"/>
      <c r="AA22" s="77"/>
      <c r="AB22" s="77"/>
    </row>
    <row r="23" spans="1:28" ht="28.5" x14ac:dyDescent="0.25">
      <c r="A23" s="76" t="s">
        <v>238</v>
      </c>
      <c r="B23" s="76" t="s">
        <v>233</v>
      </c>
      <c r="C23" s="76" t="s">
        <v>198</v>
      </c>
      <c r="D23" s="76" t="s">
        <v>234</v>
      </c>
      <c r="E23" s="76" t="s">
        <v>32</v>
      </c>
      <c r="F23" s="76" t="s">
        <v>235</v>
      </c>
      <c r="G23" s="76"/>
      <c r="H23" s="76"/>
      <c r="I23" s="7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7"/>
      <c r="Z23" s="77"/>
      <c r="AA23" s="77"/>
      <c r="AB23" s="77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7"/>
      <c r="Z24" s="77"/>
      <c r="AA24" s="77"/>
      <c r="AB24" s="77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7"/>
      <c r="Z25" s="77"/>
      <c r="AA25" s="77"/>
      <c r="AB25" s="77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7"/>
      <c r="Z26" s="77"/>
      <c r="AA26" s="77"/>
      <c r="AB26" s="77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7"/>
      <c r="Z27" s="77"/>
      <c r="AA27" s="77"/>
      <c r="AB27" s="77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7"/>
      <c r="Z28" s="77"/>
      <c r="AA28" s="77"/>
      <c r="AB28" s="77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7"/>
      <c r="Z29" s="77"/>
      <c r="AA29" s="77"/>
      <c r="AB29" s="77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7"/>
      <c r="Z30" s="77"/>
      <c r="AA30" s="77"/>
      <c r="AB30" s="77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7"/>
      <c r="Z31" s="77"/>
      <c r="AA31" s="77"/>
      <c r="AB31" s="77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7"/>
      <c r="Z32" s="77"/>
      <c r="AA32" s="77"/>
      <c r="AB32" s="77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7"/>
      <c r="Z33" s="77"/>
      <c r="AA33" s="77"/>
      <c r="AB33" s="77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7"/>
      <c r="Z34" s="77"/>
      <c r="AA34" s="77"/>
      <c r="AB34" s="77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7"/>
      <c r="Z35" s="77"/>
      <c r="AA35" s="77"/>
      <c r="AB35" s="77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7"/>
      <c r="Z36" s="77"/>
      <c r="AA36" s="77"/>
      <c r="AB36" s="77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7"/>
      <c r="Z37" s="77"/>
      <c r="AA37" s="77"/>
      <c r="AB37" s="77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7"/>
      <c r="Z38" s="77"/>
      <c r="AA38" s="77"/>
      <c r="AB38" s="77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7"/>
      <c r="Z39" s="77"/>
      <c r="AA39" s="77"/>
      <c r="AB39" s="77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7"/>
      <c r="Z40" s="77"/>
      <c r="AA40" s="77"/>
      <c r="AB40" s="77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7"/>
      <c r="Z41" s="77"/>
      <c r="AA41" s="77"/>
      <c r="AB41" s="77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7"/>
      <c r="Z42" s="77"/>
      <c r="AA42" s="77"/>
      <c r="AB42" s="77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7"/>
      <c r="Z43" s="77"/>
      <c r="AA43" s="77"/>
      <c r="AB43" s="77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7"/>
      <c r="Z44" s="77"/>
      <c r="AA44" s="77"/>
      <c r="AB44" s="77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7"/>
      <c r="Z45" s="77"/>
      <c r="AA45" s="77"/>
      <c r="AB45" s="77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7"/>
      <c r="Z46" s="77"/>
      <c r="AA46" s="77"/>
      <c r="AB46" s="77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7"/>
      <c r="Z47" s="77"/>
      <c r="AA47" s="77"/>
      <c r="AB47" s="77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7"/>
      <c r="Z48" s="77"/>
      <c r="AA48" s="77"/>
      <c r="AB48" s="77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7"/>
      <c r="Z49" s="77"/>
      <c r="AA49" s="77"/>
      <c r="AB49" s="77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7"/>
      <c r="Z50" s="77"/>
      <c r="AA50" s="77"/>
      <c r="AB50" s="77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7"/>
      <c r="Z51" s="77"/>
      <c r="AA51" s="77"/>
      <c r="AB51" s="77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7"/>
      <c r="Z52" s="77"/>
      <c r="AA52" s="77"/>
      <c r="AB52" s="77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7"/>
      <c r="Z53" s="77"/>
      <c r="AA53" s="77"/>
      <c r="AB53" s="77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7"/>
      <c r="Z54" s="77"/>
      <c r="AA54" s="77"/>
      <c r="AB54" s="77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7"/>
      <c r="Z55" s="77"/>
      <c r="AA55" s="77"/>
      <c r="AB55" s="77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7"/>
      <c r="Z56" s="77"/>
      <c r="AA56" s="77"/>
      <c r="AB56" s="77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7"/>
      <c r="Z57" s="77"/>
      <c r="AA57" s="77"/>
      <c r="AB57" s="77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7"/>
      <c r="Z58" s="77"/>
      <c r="AA58" s="77"/>
      <c r="AB58" s="77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7"/>
      <c r="Z59" s="77"/>
      <c r="AA59" s="77"/>
      <c r="AB59" s="77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7"/>
      <c r="Z60" s="77"/>
      <c r="AA60" s="77"/>
      <c r="AB60" s="77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7"/>
      <c r="Z61" s="77"/>
      <c r="AA61" s="77"/>
      <c r="AB61" s="77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7"/>
      <c r="Z62" s="77"/>
      <c r="AA62" s="77"/>
      <c r="AB62" s="77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7"/>
      <c r="Z63" s="77"/>
      <c r="AA63" s="77"/>
      <c r="AB63" s="77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7"/>
      <c r="Z64" s="77"/>
      <c r="AA64" s="77"/>
      <c r="AB64" s="77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7"/>
      <c r="Z65" s="77"/>
      <c r="AA65" s="77"/>
      <c r="AB65" s="77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7"/>
      <c r="Z66" s="77"/>
      <c r="AA66" s="77"/>
      <c r="AB66" s="77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7"/>
      <c r="Z67" s="77"/>
      <c r="AA67" s="77"/>
      <c r="AB67" s="7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7"/>
      <c r="Z68" s="77"/>
      <c r="AA68" s="77"/>
      <c r="AB68" s="77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7"/>
      <c r="Z69" s="77"/>
      <c r="AA69" s="77"/>
      <c r="AB69" s="77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7"/>
      <c r="Z70" s="77"/>
      <c r="AA70" s="77"/>
      <c r="AB70" s="77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7"/>
      <c r="Z71" s="77"/>
      <c r="AA71" s="77"/>
      <c r="AB71" s="77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7"/>
      <c r="Z72" s="77"/>
      <c r="AA72" s="77"/>
      <c r="AB72" s="77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7"/>
      <c r="Z73" s="77"/>
      <c r="AA73" s="77"/>
      <c r="AB73" s="77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7"/>
      <c r="Z74" s="77"/>
      <c r="AA74" s="77"/>
      <c r="AB74" s="77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7"/>
      <c r="Z75" s="77"/>
      <c r="AA75" s="77"/>
      <c r="AB75" s="77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7"/>
      <c r="Z76" s="77"/>
      <c r="AA76" s="77"/>
      <c r="AB76" s="77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7"/>
      <c r="Z77" s="77"/>
      <c r="AA77" s="77"/>
      <c r="AB77" s="77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7"/>
      <c r="Z78" s="77"/>
      <c r="AA78" s="77"/>
      <c r="AB78" s="77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7"/>
      <c r="Z79" s="77"/>
      <c r="AA79" s="77"/>
      <c r="AB79" s="77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7"/>
      <c r="Z80" s="77"/>
      <c r="AA80" s="77"/>
      <c r="AB80" s="77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7"/>
      <c r="Z81" s="77"/>
      <c r="AA81" s="77"/>
      <c r="AB81" s="77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7"/>
      <c r="Z82" s="77"/>
      <c r="AA82" s="77"/>
      <c r="AB82" s="77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7"/>
      <c r="Z83" s="77"/>
      <c r="AA83" s="77"/>
      <c r="AB83" s="77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7"/>
      <c r="Z84" s="77"/>
      <c r="AA84" s="77"/>
      <c r="AB84" s="77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7"/>
      <c r="Z85" s="77"/>
      <c r="AA85" s="77"/>
      <c r="AB85" s="77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7"/>
      <c r="Z86" s="77"/>
      <c r="AA86" s="77"/>
      <c r="AB86" s="77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7"/>
      <c r="Z87" s="77"/>
      <c r="AA87" s="77"/>
      <c r="AB87" s="77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7"/>
      <c r="Z88" s="77"/>
      <c r="AA88" s="77"/>
      <c r="AB88" s="77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7"/>
      <c r="Z89" s="77"/>
      <c r="AA89" s="77"/>
      <c r="AB89" s="77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7"/>
      <c r="Z90" s="77"/>
      <c r="AA90" s="77"/>
      <c r="AB90" s="77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7"/>
      <c r="Z91" s="77"/>
      <c r="AA91" s="77"/>
      <c r="AB91" s="77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7"/>
      <c r="Z92" s="77"/>
      <c r="AA92" s="77"/>
      <c r="AB92" s="77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7"/>
      <c r="Z93" s="77"/>
      <c r="AA93" s="77"/>
      <c r="AB93" s="77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7"/>
      <c r="Z94" s="77"/>
      <c r="AA94" s="77"/>
      <c r="AB94" s="77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7"/>
      <c r="Z95" s="77"/>
      <c r="AA95" s="77"/>
      <c r="AB95" s="77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7"/>
      <c r="Z96" s="77"/>
      <c r="AA96" s="77"/>
      <c r="AB96" s="77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7"/>
      <c r="Z97" s="77"/>
      <c r="AA97" s="77"/>
      <c r="AB97" s="77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7"/>
      <c r="Z98" s="77"/>
      <c r="AA98" s="77"/>
      <c r="AB98" s="77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7"/>
      <c r="Z99" s="77"/>
      <c r="AA99" s="77"/>
      <c r="AB99" s="77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7"/>
      <c r="Z100" s="77"/>
      <c r="AA100" s="77"/>
      <c r="AB100" s="77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7"/>
      <c r="Z101" s="77"/>
      <c r="AA101" s="77"/>
      <c r="AB101" s="77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7"/>
      <c r="Z102" s="77"/>
      <c r="AA102" s="77"/>
      <c r="AB102" s="77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7"/>
      <c r="Z103" s="77"/>
      <c r="AA103" s="77"/>
      <c r="AB103" s="77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7"/>
      <c r="Z104" s="77"/>
      <c r="AA104" s="77"/>
      <c r="AB104" s="77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7"/>
      <c r="Z105" s="77"/>
      <c r="AA105" s="77"/>
      <c r="AB105" s="77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7"/>
      <c r="Z106" s="77"/>
      <c r="AA106" s="77"/>
      <c r="AB106" s="77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7"/>
      <c r="Z107" s="77"/>
      <c r="AA107" s="77"/>
      <c r="AB107" s="77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7"/>
      <c r="Z108" s="77"/>
      <c r="AA108" s="77"/>
      <c r="AB108" s="77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7"/>
      <c r="Z109" s="77"/>
      <c r="AA109" s="77"/>
      <c r="AB109" s="77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7"/>
      <c r="Z110" s="77"/>
      <c r="AA110" s="77"/>
      <c r="AB110" s="77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7"/>
      <c r="Z111" s="77"/>
      <c r="AA111" s="77"/>
      <c r="AB111" s="77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7"/>
      <c r="Z112" s="77"/>
      <c r="AA112" s="77"/>
      <c r="AB112" s="77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7"/>
      <c r="Z113" s="77"/>
      <c r="AA113" s="77"/>
      <c r="AB113" s="77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7"/>
      <c r="Z114" s="77"/>
      <c r="AA114" s="77"/>
      <c r="AB114" s="77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7"/>
      <c r="Z115" s="77"/>
      <c r="AA115" s="77"/>
      <c r="AB115" s="77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7"/>
      <c r="Z116" s="77"/>
      <c r="AA116" s="77"/>
      <c r="AB116" s="77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7"/>
      <c r="Z117" s="77"/>
      <c r="AA117" s="77"/>
      <c r="AB117" s="77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7"/>
      <c r="Z118" s="77"/>
      <c r="AA118" s="77"/>
      <c r="AB118" s="77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7"/>
      <c r="Z119" s="77"/>
      <c r="AA119" s="77"/>
      <c r="AB119" s="77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7"/>
      <c r="Z120" s="77"/>
      <c r="AA120" s="77"/>
      <c r="AB120" s="77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7"/>
      <c r="Z121" s="77"/>
      <c r="AA121" s="77"/>
      <c r="AB121" s="77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7"/>
      <c r="Z122" s="77"/>
      <c r="AA122" s="77"/>
      <c r="AB122" s="77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7"/>
      <c r="Z123" s="77"/>
      <c r="AA123" s="77"/>
      <c r="AB123" s="77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7"/>
      <c r="Z124" s="77"/>
      <c r="AA124" s="77"/>
      <c r="AB124" s="77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7"/>
      <c r="Z125" s="77"/>
      <c r="AA125" s="77"/>
      <c r="AB125" s="77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7"/>
      <c r="Z126" s="77"/>
      <c r="AA126" s="77"/>
      <c r="AB126" s="77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7"/>
      <c r="Z127" s="77"/>
      <c r="AA127" s="77"/>
      <c r="AB127" s="77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7"/>
      <c r="Z128" s="77"/>
      <c r="AA128" s="77"/>
      <c r="AB128" s="77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7"/>
      <c r="Z129" s="77"/>
      <c r="AA129" s="77"/>
      <c r="AB129" s="77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7"/>
      <c r="Z130" s="77"/>
      <c r="AA130" s="77"/>
      <c r="AB130" s="77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7"/>
      <c r="Z131" s="77"/>
      <c r="AA131" s="77"/>
      <c r="AB131" s="77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7"/>
      <c r="Z132" s="77"/>
      <c r="AA132" s="77"/>
      <c r="AB132" s="77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7"/>
      <c r="Z133" s="77"/>
      <c r="AA133" s="77"/>
      <c r="AB133" s="77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7"/>
      <c r="Z134" s="77"/>
      <c r="AA134" s="77"/>
      <c r="AB134" s="77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7"/>
      <c r="Z135" s="77"/>
      <c r="AA135" s="77"/>
      <c r="AB135" s="77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7"/>
      <c r="Z136" s="77"/>
      <c r="AA136" s="77"/>
      <c r="AB136" s="77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7"/>
      <c r="Z137" s="77"/>
      <c r="AA137" s="77"/>
      <c r="AB137" s="77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7"/>
      <c r="Z138" s="77"/>
      <c r="AA138" s="77"/>
      <c r="AB138" s="77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7"/>
      <c r="Z139" s="77"/>
      <c r="AA139" s="77"/>
      <c r="AB139" s="77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7"/>
      <c r="Z140" s="77"/>
      <c r="AA140" s="77"/>
      <c r="AB140" s="77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7"/>
      <c r="Z141" s="77"/>
      <c r="AA141" s="77"/>
      <c r="AB141" s="77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7"/>
      <c r="Z142" s="77"/>
      <c r="AA142" s="77"/>
      <c r="AB142" s="77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7"/>
      <c r="Z143" s="77"/>
      <c r="AA143" s="77"/>
      <c r="AB143" s="77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7"/>
      <c r="Z144" s="77"/>
      <c r="AA144" s="77"/>
      <c r="AB144" s="77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7"/>
      <c r="Z145" s="77"/>
      <c r="AA145" s="77"/>
      <c r="AB145" s="77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7"/>
      <c r="Z146" s="77"/>
      <c r="AA146" s="77"/>
      <c r="AB146" s="77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7"/>
      <c r="Z147" s="77"/>
      <c r="AA147" s="77"/>
      <c r="AB147" s="77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7"/>
      <c r="Z148" s="77"/>
      <c r="AA148" s="77"/>
      <c r="AB148" s="77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7"/>
      <c r="Z149" s="77"/>
      <c r="AA149" s="77"/>
      <c r="AB149" s="77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7"/>
      <c r="Z150" s="77"/>
      <c r="AA150" s="77"/>
      <c r="AB150" s="77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7"/>
      <c r="Z151" s="77"/>
      <c r="AA151" s="77"/>
      <c r="AB151" s="77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7"/>
      <c r="Z152" s="77"/>
      <c r="AA152" s="77"/>
      <c r="AB152" s="77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7"/>
      <c r="Z153" s="77"/>
      <c r="AA153" s="77"/>
      <c r="AB153" s="77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7"/>
      <c r="Z154" s="77"/>
      <c r="AA154" s="77"/>
      <c r="AB154" s="77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7"/>
      <c r="Z155" s="77"/>
      <c r="AA155" s="77"/>
      <c r="AB155" s="77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7"/>
      <c r="Z156" s="77"/>
      <c r="AA156" s="77"/>
      <c r="AB156" s="77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7"/>
      <c r="Z157" s="77"/>
      <c r="AA157" s="77"/>
      <c r="AB157" s="77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7"/>
      <c r="Z158" s="77"/>
      <c r="AA158" s="77"/>
      <c r="AB158" s="77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7"/>
      <c r="Z159" s="77"/>
      <c r="AA159" s="77"/>
      <c r="AB159" s="77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7"/>
      <c r="Z160" s="77"/>
      <c r="AA160" s="77"/>
      <c r="AB160" s="77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7"/>
      <c r="Z161" s="77"/>
      <c r="AA161" s="77"/>
      <c r="AB161" s="77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7"/>
      <c r="Z162" s="77"/>
      <c r="AA162" s="77"/>
      <c r="AB162" s="77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7"/>
      <c r="Z163" s="77"/>
      <c r="AA163" s="77"/>
      <c r="AB163" s="77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7"/>
      <c r="Z164" s="77"/>
      <c r="AA164" s="77"/>
      <c r="AB164" s="77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7"/>
      <c r="Z165" s="77"/>
      <c r="AA165" s="77"/>
      <c r="AB165" s="77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7"/>
      <c r="Z166" s="77"/>
      <c r="AA166" s="77"/>
      <c r="AB166" s="77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7"/>
      <c r="Z167" s="77"/>
      <c r="AA167" s="77"/>
      <c r="AB167" s="77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7"/>
      <c r="Z168" s="77"/>
      <c r="AA168" s="77"/>
      <c r="AB168" s="77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7"/>
      <c r="Z169" s="77"/>
      <c r="AA169" s="77"/>
      <c r="AB169" s="77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7"/>
      <c r="Z170" s="77"/>
      <c r="AA170" s="77"/>
      <c r="AB170" s="77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7"/>
      <c r="Z171" s="77"/>
      <c r="AA171" s="77"/>
      <c r="AB171" s="77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7"/>
      <c r="Z172" s="77"/>
      <c r="AA172" s="77"/>
      <c r="AB172" s="77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7"/>
      <c r="Z173" s="77"/>
      <c r="AA173" s="77"/>
      <c r="AB173" s="77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7"/>
      <c r="Z174" s="77"/>
      <c r="AA174" s="77"/>
      <c r="AB174" s="77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7"/>
      <c r="Z175" s="77"/>
      <c r="AA175" s="77"/>
      <c r="AB175" s="77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7"/>
      <c r="Z176" s="77"/>
      <c r="AA176" s="77"/>
      <c r="AB176" s="77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7"/>
      <c r="Z177" s="77"/>
      <c r="AA177" s="77"/>
      <c r="AB177" s="77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7"/>
      <c r="Z178" s="77"/>
      <c r="AA178" s="77"/>
      <c r="AB178" s="77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 spans="1:28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 spans="1:28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 spans="1:28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 spans="1:28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 spans="1:28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 spans="1:28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 spans="1:28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 spans="1:28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 spans="1:28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 spans="1:28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 spans="1:28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 spans="1:28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 spans="1:28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 spans="1:28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 spans="1:28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 spans="1:28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 spans="1:28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 spans="1:28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 spans="1:28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 spans="1:28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 spans="1:28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 spans="1:28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 spans="1:28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 spans="1:28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 spans="1:28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 spans="1:28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 spans="1:28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 spans="1:28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 spans="1:28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 spans="1:28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 spans="1:28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 spans="1:28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 spans="1:28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 spans="1:28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 spans="1:28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 spans="1:28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 spans="1:28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 spans="1:28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 spans="1:28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 spans="1:28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 spans="1:28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 spans="1:28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 spans="1:28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 spans="1:28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 spans="1:28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 spans="1:28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 spans="1:28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 spans="1:28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 spans="1:28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 spans="1:28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 spans="1:28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 spans="1:28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 spans="1:28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 spans="1:28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 spans="1:28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 spans="1:28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 spans="1:28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 spans="1:28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 spans="1:28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 spans="1:28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 spans="1:28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 spans="1:28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 spans="1:28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 spans="1:28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 spans="1:28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 spans="1:28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 spans="1:28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 spans="1:28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 spans="1:28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 spans="1:28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 spans="1:28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 spans="1:28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 spans="1:28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 spans="1:28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 spans="1:28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 spans="1:28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 spans="1:28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 spans="1:28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 spans="1:28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 spans="1:28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 spans="1:28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 spans="1:28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 spans="1:28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 spans="1:28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 spans="1:28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 spans="1:28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 spans="1:28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 spans="1:28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 spans="1:28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 spans="1:28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 spans="1:28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 spans="1:28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 spans="1:28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 spans="1:28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 spans="1:28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 spans="1:28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 spans="1:28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 spans="1:28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 spans="1:28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 spans="1:28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 spans="1:28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 spans="1:28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 spans="1:28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 spans="1:28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 spans="1:28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 spans="1:28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 spans="1:28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 spans="1:28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 spans="1:28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 spans="1:28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 spans="1:28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 spans="1:28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 spans="1:28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 spans="1:28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 spans="1:28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 spans="1:28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 spans="1:28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 spans="1:28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 spans="1:28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 spans="1:28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 spans="1:28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 spans="1:28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 spans="1:28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 spans="1:28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 spans="1:28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 spans="1:28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 spans="1:28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 spans="1:28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 spans="1:28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 spans="1:28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 spans="1:28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 spans="1:28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 spans="1:28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 spans="1:28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 spans="1:28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 spans="1:28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 spans="1:28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 spans="1:28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 spans="1:28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 spans="1:28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 spans="1:28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 spans="1:28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 spans="1:28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 spans="1:28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 spans="1:28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 spans="1:28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 spans="1:28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 spans="1:28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 spans="1:28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 spans="1:28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 spans="1:28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 spans="1:28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 spans="1:28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 spans="1:28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 spans="1:28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 spans="1:28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 spans="1:28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</row>
    <row r="956" spans="1:28" x14ac:dyDescent="0.25">
      <c r="A956" s="77"/>
      <c r="B956" s="77"/>
      <c r="C956" s="77"/>
      <c r="D956" s="77"/>
      <c r="E956" s="77"/>
      <c r="F956" s="77"/>
      <c r="G956" s="77"/>
      <c r="H956" s="77"/>
      <c r="I956" s="77"/>
    </row>
    <row r="957" spans="1:28" x14ac:dyDescent="0.25">
      <c r="A957" s="77"/>
      <c r="B957" s="77"/>
      <c r="C957" s="77"/>
      <c r="D957" s="77"/>
      <c r="E957" s="77"/>
      <c r="F957" s="77"/>
      <c r="G957" s="77"/>
      <c r="H957" s="77"/>
      <c r="I957" s="77"/>
    </row>
    <row r="958" spans="1:28" x14ac:dyDescent="0.25">
      <c r="A958" s="77"/>
      <c r="B958" s="77"/>
      <c r="C958" s="77"/>
      <c r="D958" s="77"/>
      <c r="E958" s="77"/>
      <c r="F958" s="77"/>
      <c r="G958" s="77"/>
      <c r="H958" s="77"/>
      <c r="I958" s="77"/>
    </row>
    <row r="959" spans="1:28" x14ac:dyDescent="0.25">
      <c r="A959" s="77"/>
      <c r="B959" s="77"/>
      <c r="C959" s="77"/>
      <c r="D959" s="77"/>
      <c r="E959" s="77"/>
      <c r="F959" s="77"/>
      <c r="G959" s="77"/>
      <c r="H959" s="77"/>
      <c r="I959" s="77"/>
    </row>
    <row r="960" spans="1:28" x14ac:dyDescent="0.25">
      <c r="A960" s="77"/>
      <c r="B960" s="77"/>
      <c r="C960" s="77"/>
      <c r="D960" s="77"/>
      <c r="E960" s="77"/>
      <c r="F960" s="77"/>
      <c r="G960" s="77"/>
      <c r="H960" s="77"/>
      <c r="I960" s="77"/>
    </row>
    <row r="961" spans="1:9" x14ac:dyDescent="0.25">
      <c r="A961" s="77"/>
      <c r="B961" s="77"/>
      <c r="C961" s="77"/>
      <c r="D961" s="77"/>
      <c r="E961" s="77"/>
      <c r="F961" s="77"/>
      <c r="G961" s="77"/>
      <c r="H961" s="77"/>
      <c r="I961" s="77"/>
    </row>
    <row r="962" spans="1:9" x14ac:dyDescent="0.25">
      <c r="A962" s="77"/>
      <c r="B962" s="77"/>
      <c r="C962" s="77"/>
      <c r="D962" s="77"/>
      <c r="E962" s="77"/>
      <c r="F962" s="77"/>
      <c r="G962" s="77"/>
      <c r="H962" s="77"/>
      <c r="I962" s="77"/>
    </row>
    <row r="963" spans="1:9" x14ac:dyDescent="0.25">
      <c r="A963" s="77"/>
      <c r="B963" s="77"/>
      <c r="C963" s="77"/>
      <c r="D963" s="77"/>
      <c r="E963" s="77"/>
      <c r="F963" s="77"/>
      <c r="G963" s="77"/>
      <c r="H963" s="77"/>
      <c r="I963" s="77"/>
    </row>
    <row r="964" spans="1:9" x14ac:dyDescent="0.25">
      <c r="A964" s="77"/>
      <c r="B964" s="77"/>
      <c r="C964" s="77"/>
      <c r="D964" s="77"/>
      <c r="E964" s="77"/>
      <c r="F964" s="77"/>
      <c r="G964" s="77"/>
      <c r="H964" s="77"/>
      <c r="I964" s="77"/>
    </row>
    <row r="965" spans="1:9" x14ac:dyDescent="0.25">
      <c r="A965" s="77"/>
      <c r="B965" s="77"/>
      <c r="C965" s="77"/>
      <c r="D965" s="77"/>
      <c r="E965" s="77"/>
      <c r="F965" s="77"/>
      <c r="G965" s="77"/>
      <c r="H965" s="77"/>
      <c r="I965" s="77"/>
    </row>
    <row r="966" spans="1:9" x14ac:dyDescent="0.25">
      <c r="A966" s="77"/>
      <c r="B966" s="77"/>
      <c r="C966" s="77"/>
      <c r="D966" s="77"/>
      <c r="E966" s="77"/>
      <c r="F966" s="77"/>
      <c r="G966" s="77"/>
      <c r="H966" s="77"/>
      <c r="I966" s="77"/>
    </row>
  </sheetData>
  <mergeCells count="1">
    <mergeCell ref="B2:I2"/>
  </mergeCells>
  <phoneticPr fontId="18" type="noConversion"/>
  <dataValidations count="1">
    <dataValidation type="list" allowBlank="1" showInputMessage="1" showErrorMessage="1" sqref="H11:H23" xr:uid="{3A0391F9-2FDA-4883-974B-F198CE305C40}">
      <formula1>"'Pass,'Fail,'Untest,'N/A"</formula1>
    </dataValidation>
  </dataValidations>
  <hyperlinks>
    <hyperlink ref="E11" r:id="rId1" display="mailto:newuser01@test.com" xr:uid="{D34D681A-6DE3-45D3-A7C9-E519533ED662}"/>
    <hyperlink ref="E12" r:id="rId2" display="mailto:existing@test.com" xr:uid="{2544478E-ABFB-4435-A78C-2417B39F3427}"/>
    <hyperlink ref="B4" location="null!A1" display="Back to TestReport" xr:uid="{E58D8393-A3CC-4CF5-8EEF-4FFEFB70F956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F9D6-7B4F-4720-8A8E-EEE52466FB28}">
  <dimension ref="A1:AB962"/>
  <sheetViews>
    <sheetView topLeftCell="A26" workbookViewId="0">
      <selection activeCell="H5" sqref="H5"/>
    </sheetView>
  </sheetViews>
  <sheetFormatPr defaultColWidth="14.42578125" defaultRowHeight="15" x14ac:dyDescent="0.25"/>
  <cols>
    <col min="1" max="1" width="14.5703125" customWidth="1"/>
    <col min="2" max="2" width="27.28515625" bestFit="1" customWidth="1"/>
    <col min="3" max="3" width="26" customWidth="1"/>
    <col min="4" max="4" width="23.140625" customWidth="1"/>
    <col min="5" max="5" width="24.28515625" customWidth="1"/>
    <col min="6" max="6" width="38.28515625" customWidth="1"/>
    <col min="7" max="7" width="11.28515625" customWidth="1"/>
    <col min="8" max="8" width="18" bestFit="1" customWidth="1"/>
    <col min="9" max="9" width="11.140625" customWidth="1"/>
    <col min="10" max="17" width="10.28515625" customWidth="1"/>
    <col min="18" max="24" width="9.140625" customWidth="1"/>
    <col min="25" max="28" width="17.28515625" customWidth="1"/>
  </cols>
  <sheetData>
    <row r="1" spans="1:28" s="49" customFormat="1" x14ac:dyDescent="0.25"/>
    <row r="2" spans="1:28" s="49" customFormat="1" ht="25.5" customHeight="1" x14ac:dyDescent="0.4">
      <c r="A2" s="51"/>
      <c r="B2" s="130" t="s">
        <v>281</v>
      </c>
      <c r="C2" s="130"/>
      <c r="D2" s="130"/>
      <c r="E2" s="130"/>
      <c r="F2" s="130"/>
      <c r="G2" s="130"/>
      <c r="H2" s="130"/>
      <c r="I2" s="130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8" ht="15.75" thickBot="1" x14ac:dyDescent="0.3">
      <c r="A3" s="52"/>
      <c r="B3" s="53"/>
      <c r="C3" s="53"/>
      <c r="D3" s="53"/>
      <c r="E3" s="53"/>
      <c r="F3" s="53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77"/>
      <c r="Z3" s="77"/>
      <c r="AA3" s="77"/>
    </row>
    <row r="4" spans="1:28" x14ac:dyDescent="0.25">
      <c r="A4" s="54"/>
      <c r="B4" s="55" t="s">
        <v>24</v>
      </c>
      <c r="C4" s="55" t="str">
        <f>HYPERLINK("#'Test case List'!A1","Test case List")</f>
        <v>Test case List</v>
      </c>
      <c r="D4" s="54"/>
      <c r="E4" s="54"/>
      <c r="F4" s="54"/>
      <c r="G4" s="56" t="s">
        <v>25</v>
      </c>
      <c r="H4" s="57">
        <f>COUNTIF($A$11:$A$828, "SEARCH*")</f>
        <v>18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7"/>
      <c r="Z4" s="37"/>
      <c r="AA4" s="37"/>
      <c r="AB4" s="37"/>
    </row>
    <row r="5" spans="1:28" x14ac:dyDescent="0.25">
      <c r="A5" s="54"/>
      <c r="B5" s="58" t="s">
        <v>26</v>
      </c>
      <c r="C5" s="59" t="s">
        <v>113</v>
      </c>
      <c r="D5" s="54"/>
      <c r="E5" s="54"/>
      <c r="F5" s="54"/>
      <c r="G5" s="60" t="s">
        <v>27</v>
      </c>
      <c r="H5" s="61">
        <f>(COUNTIF(H11:H17,"Pass"))</f>
        <v>0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7"/>
      <c r="Z5" s="37"/>
      <c r="AA5" s="37"/>
      <c r="AB5" s="37"/>
    </row>
    <row r="6" spans="1:28" ht="15.75" thickBot="1" x14ac:dyDescent="0.3">
      <c r="A6" s="54"/>
      <c r="B6" s="62" t="s">
        <v>28</v>
      </c>
      <c r="C6" s="63"/>
      <c r="D6" s="54"/>
      <c r="E6" s="54"/>
      <c r="F6" s="54"/>
      <c r="G6" s="60" t="s">
        <v>29</v>
      </c>
      <c r="H6" s="61">
        <f>(COUNTIF(H11:H17,"Fail"))</f>
        <v>0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7"/>
      <c r="Z6" s="37"/>
      <c r="AA6" s="37"/>
      <c r="AB6" s="37"/>
    </row>
    <row r="7" spans="1:28" ht="15.75" thickBot="1" x14ac:dyDescent="0.3">
      <c r="A7" s="54"/>
      <c r="B7" s="64"/>
      <c r="C7" s="64"/>
      <c r="D7" s="54"/>
      <c r="E7" s="54"/>
      <c r="F7" s="54"/>
      <c r="G7" s="60" t="s">
        <v>30</v>
      </c>
      <c r="H7" s="61">
        <f>(COUNTIF(H11:H17,"Untest"))</f>
        <v>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37"/>
      <c r="Z7" s="37"/>
      <c r="AA7" s="37"/>
      <c r="AB7" s="37"/>
    </row>
    <row r="8" spans="1:28" ht="15.75" thickBot="1" x14ac:dyDescent="0.3">
      <c r="A8" s="64"/>
      <c r="B8" s="65" t="s">
        <v>31</v>
      </c>
      <c r="C8" s="66" t="str">
        <f>ROUND((H5 / (H4-H8))*100,2)&amp;"%"</f>
        <v>0%</v>
      </c>
      <c r="D8" s="54"/>
      <c r="E8" s="54"/>
      <c r="F8" s="54"/>
      <c r="G8" s="67" t="s">
        <v>32</v>
      </c>
      <c r="H8" s="68">
        <f>(COUNTIF(H11:H17,"N/A"))</f>
        <v>0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37"/>
      <c r="Z8" s="37"/>
      <c r="AA8" s="37"/>
      <c r="AB8" s="37"/>
    </row>
    <row r="9" spans="1:28" x14ac:dyDescent="0.25">
      <c r="A9" s="69"/>
      <c r="B9" s="69"/>
      <c r="C9" s="69"/>
      <c r="D9" s="70"/>
      <c r="E9" s="70"/>
      <c r="F9" s="71"/>
      <c r="G9" s="71"/>
      <c r="H9" s="71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7"/>
      <c r="Z9" s="77"/>
      <c r="AA9" s="77"/>
      <c r="AB9" s="77"/>
    </row>
    <row r="10" spans="1:28" x14ac:dyDescent="0.25">
      <c r="A10" s="72" t="s">
        <v>33</v>
      </c>
      <c r="B10" s="72" t="s">
        <v>34</v>
      </c>
      <c r="C10" s="73" t="s">
        <v>8</v>
      </c>
      <c r="D10" s="72" t="s">
        <v>35</v>
      </c>
      <c r="E10" s="73" t="s">
        <v>36</v>
      </c>
      <c r="F10" s="72" t="s">
        <v>37</v>
      </c>
      <c r="G10" s="74" t="s">
        <v>38</v>
      </c>
      <c r="H10" s="75" t="s">
        <v>39</v>
      </c>
      <c r="I10" s="73" t="s">
        <v>40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7"/>
      <c r="AB10" s="77"/>
    </row>
    <row r="11" spans="1:28" ht="57" x14ac:dyDescent="0.25">
      <c r="A11" s="76" t="s">
        <v>61</v>
      </c>
      <c r="B11" s="76" t="s">
        <v>239</v>
      </c>
      <c r="C11" s="76" t="s">
        <v>240</v>
      </c>
      <c r="D11" s="76" t="s">
        <v>241</v>
      </c>
      <c r="E11" s="76" t="s">
        <v>242</v>
      </c>
      <c r="F11" s="76" t="s">
        <v>243</v>
      </c>
      <c r="G11" s="76"/>
      <c r="H11" s="76"/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77"/>
      <c r="AB11" s="77"/>
    </row>
    <row r="12" spans="1:28" ht="57" x14ac:dyDescent="0.25">
      <c r="A12" s="76" t="s">
        <v>62</v>
      </c>
      <c r="B12" s="76" t="s">
        <v>244</v>
      </c>
      <c r="C12" s="76" t="s">
        <v>245</v>
      </c>
      <c r="D12" s="76" t="s">
        <v>246</v>
      </c>
      <c r="E12" s="76" t="s">
        <v>247</v>
      </c>
      <c r="F12" s="76" t="s">
        <v>248</v>
      </c>
      <c r="G12" s="76"/>
      <c r="H12" s="76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7"/>
      <c r="Z12" s="77"/>
      <c r="AA12" s="77"/>
      <c r="AB12" s="77"/>
    </row>
    <row r="13" spans="1:28" ht="42.75" x14ac:dyDescent="0.25">
      <c r="A13" s="76" t="s">
        <v>63</v>
      </c>
      <c r="B13" s="76" t="s">
        <v>249</v>
      </c>
      <c r="C13" s="76" t="s">
        <v>245</v>
      </c>
      <c r="D13" s="76" t="s">
        <v>250</v>
      </c>
      <c r="E13" s="76" t="s">
        <v>251</v>
      </c>
      <c r="F13" s="76" t="s">
        <v>252</v>
      </c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7"/>
      <c r="Z13" s="77"/>
      <c r="AA13" s="77"/>
      <c r="AB13" s="77"/>
    </row>
    <row r="14" spans="1:28" ht="42.75" x14ac:dyDescent="0.25">
      <c r="A14" s="76" t="s">
        <v>64</v>
      </c>
      <c r="B14" s="76" t="s">
        <v>253</v>
      </c>
      <c r="C14" s="76" t="s">
        <v>245</v>
      </c>
      <c r="D14" s="76" t="s">
        <v>254</v>
      </c>
      <c r="E14" s="76" t="s">
        <v>255</v>
      </c>
      <c r="F14" s="76" t="s">
        <v>256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7"/>
      <c r="Z14" s="77"/>
      <c r="AA14" s="77"/>
      <c r="AB14" s="77"/>
    </row>
    <row r="15" spans="1:28" ht="71.25" x14ac:dyDescent="0.25">
      <c r="A15" s="76" t="s">
        <v>65</v>
      </c>
      <c r="B15" s="76" t="s">
        <v>257</v>
      </c>
      <c r="C15" s="76" t="s">
        <v>245</v>
      </c>
      <c r="D15" s="76" t="s">
        <v>258</v>
      </c>
      <c r="E15" s="76" t="s">
        <v>259</v>
      </c>
      <c r="F15" s="76" t="s">
        <v>260</v>
      </c>
      <c r="G15" s="76"/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77"/>
      <c r="AB15" s="77"/>
    </row>
    <row r="16" spans="1:28" ht="42.75" x14ac:dyDescent="0.25">
      <c r="A16" s="76" t="s">
        <v>66</v>
      </c>
      <c r="B16" s="76" t="s">
        <v>261</v>
      </c>
      <c r="C16" s="76" t="s">
        <v>245</v>
      </c>
      <c r="D16" s="76" t="s">
        <v>262</v>
      </c>
      <c r="E16" s="76" t="s">
        <v>263</v>
      </c>
      <c r="F16" s="76" t="s">
        <v>264</v>
      </c>
      <c r="G16" s="76"/>
      <c r="H16" s="76"/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77"/>
      <c r="Z16" s="77"/>
      <c r="AA16" s="77"/>
      <c r="AB16" s="77"/>
    </row>
    <row r="17" spans="1:28" ht="57" x14ac:dyDescent="0.25">
      <c r="A17" s="76" t="s">
        <v>67</v>
      </c>
      <c r="B17" s="76" t="s">
        <v>265</v>
      </c>
      <c r="C17" s="76" t="s">
        <v>245</v>
      </c>
      <c r="D17" s="76" t="s">
        <v>266</v>
      </c>
      <c r="E17" s="76" t="s">
        <v>267</v>
      </c>
      <c r="F17" s="76" t="s">
        <v>268</v>
      </c>
      <c r="G17" s="76"/>
      <c r="H17" s="76"/>
      <c r="I17" s="7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7"/>
      <c r="Z17" s="77"/>
      <c r="AA17" s="77"/>
      <c r="AB17" s="77"/>
    </row>
    <row r="18" spans="1:28" ht="85.5" x14ac:dyDescent="0.25">
      <c r="A18" s="76" t="s">
        <v>68</v>
      </c>
      <c r="B18" s="76" t="s">
        <v>269</v>
      </c>
      <c r="C18" s="76" t="s">
        <v>270</v>
      </c>
      <c r="D18" s="76" t="s">
        <v>271</v>
      </c>
      <c r="E18" s="76" t="s">
        <v>242</v>
      </c>
      <c r="F18" s="76" t="s">
        <v>272</v>
      </c>
      <c r="G18" s="76"/>
      <c r="H18" s="76"/>
      <c r="I18" s="7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7"/>
      <c r="Z18" s="77"/>
      <c r="AA18" s="77"/>
      <c r="AB18" s="77"/>
    </row>
    <row r="19" spans="1:28" ht="71.25" x14ac:dyDescent="0.25">
      <c r="A19" s="76" t="s">
        <v>69</v>
      </c>
      <c r="B19" s="76" t="s">
        <v>273</v>
      </c>
      <c r="C19" s="76" t="s">
        <v>274</v>
      </c>
      <c r="D19" s="76" t="s">
        <v>275</v>
      </c>
      <c r="E19" s="76" t="s">
        <v>276</v>
      </c>
      <c r="F19" s="76" t="s">
        <v>277</v>
      </c>
      <c r="G19" s="76"/>
      <c r="H19" s="76"/>
      <c r="I19" s="7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7"/>
      <c r="Z19" s="77"/>
      <c r="AA19" s="77"/>
      <c r="AB19" s="77"/>
    </row>
    <row r="20" spans="1:28" ht="85.5" x14ac:dyDescent="0.25">
      <c r="A20" s="76" t="s">
        <v>70</v>
      </c>
      <c r="B20" s="76" t="s">
        <v>433</v>
      </c>
      <c r="C20" s="76" t="s">
        <v>274</v>
      </c>
      <c r="D20" s="76" t="s">
        <v>434</v>
      </c>
      <c r="E20" s="76" t="s">
        <v>435</v>
      </c>
      <c r="F20" s="76" t="s">
        <v>436</v>
      </c>
      <c r="G20" s="76"/>
      <c r="H20" s="76"/>
      <c r="I20" s="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7"/>
      <c r="Z20" s="77"/>
      <c r="AA20" s="77"/>
      <c r="AB20" s="77"/>
    </row>
    <row r="21" spans="1:28" ht="85.5" x14ac:dyDescent="0.25">
      <c r="A21" s="76" t="s">
        <v>471</v>
      </c>
      <c r="B21" s="76" t="s">
        <v>437</v>
      </c>
      <c r="C21" s="76" t="s">
        <v>274</v>
      </c>
      <c r="D21" s="76" t="s">
        <v>438</v>
      </c>
      <c r="E21" s="76" t="s">
        <v>439</v>
      </c>
      <c r="F21" s="76" t="s">
        <v>440</v>
      </c>
      <c r="G21" s="76"/>
      <c r="H21" s="76"/>
      <c r="I21" s="7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7"/>
      <c r="Z21" s="77"/>
      <c r="AA21" s="77"/>
      <c r="AB21" s="77"/>
    </row>
    <row r="22" spans="1:28" ht="71.25" x14ac:dyDescent="0.25">
      <c r="A22" s="76" t="s">
        <v>472</v>
      </c>
      <c r="B22" s="76" t="s">
        <v>441</v>
      </c>
      <c r="C22" s="76" t="s">
        <v>274</v>
      </c>
      <c r="D22" s="76" t="s">
        <v>442</v>
      </c>
      <c r="E22" s="76" t="s">
        <v>443</v>
      </c>
      <c r="F22" s="76" t="s">
        <v>444</v>
      </c>
      <c r="G22" s="76"/>
      <c r="H22" s="76"/>
      <c r="I22" s="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7"/>
      <c r="Z22" s="77"/>
      <c r="AA22" s="77"/>
      <c r="AB22" s="77"/>
    </row>
    <row r="23" spans="1:28" ht="57" x14ac:dyDescent="0.25">
      <c r="A23" s="76" t="s">
        <v>473</v>
      </c>
      <c r="B23" s="76" t="s">
        <v>445</v>
      </c>
      <c r="C23" s="76" t="s">
        <v>446</v>
      </c>
      <c r="D23" s="76" t="s">
        <v>447</v>
      </c>
      <c r="E23" s="76" t="s">
        <v>448</v>
      </c>
      <c r="F23" s="76" t="s">
        <v>449</v>
      </c>
      <c r="G23" s="76"/>
      <c r="H23" s="76"/>
      <c r="I23" s="7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7"/>
      <c r="Z23" s="77"/>
      <c r="AA23" s="77"/>
      <c r="AB23" s="77"/>
    </row>
    <row r="24" spans="1:28" ht="71.25" x14ac:dyDescent="0.25">
      <c r="A24" s="76" t="s">
        <v>474</v>
      </c>
      <c r="B24" s="76" t="s">
        <v>450</v>
      </c>
      <c r="C24" s="76" t="s">
        <v>274</v>
      </c>
      <c r="D24" s="76" t="s">
        <v>451</v>
      </c>
      <c r="E24" s="76" t="s">
        <v>452</v>
      </c>
      <c r="F24" s="76" t="s">
        <v>453</v>
      </c>
      <c r="G24" s="76"/>
      <c r="H24" s="76"/>
      <c r="I24" s="7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7"/>
      <c r="Z24" s="77"/>
      <c r="AA24" s="77"/>
      <c r="AB24" s="77"/>
    </row>
    <row r="25" spans="1:28" ht="57" x14ac:dyDescent="0.25">
      <c r="A25" s="76" t="s">
        <v>475</v>
      </c>
      <c r="B25" s="76" t="s">
        <v>454</v>
      </c>
      <c r="C25" s="76" t="s">
        <v>274</v>
      </c>
      <c r="D25" s="76" t="s">
        <v>455</v>
      </c>
      <c r="E25" s="76" t="s">
        <v>456</v>
      </c>
      <c r="F25" s="76" t="s">
        <v>457</v>
      </c>
      <c r="G25" s="76"/>
      <c r="H25" s="76"/>
      <c r="I25" s="7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7"/>
      <c r="Z25" s="77"/>
      <c r="AA25" s="77"/>
      <c r="AB25" s="77"/>
    </row>
    <row r="26" spans="1:28" ht="57" x14ac:dyDescent="0.25">
      <c r="A26" s="76" t="s">
        <v>476</v>
      </c>
      <c r="B26" s="76" t="s">
        <v>458</v>
      </c>
      <c r="C26" s="76" t="s">
        <v>459</v>
      </c>
      <c r="D26" s="76" t="s">
        <v>460</v>
      </c>
      <c r="E26" s="76" t="s">
        <v>242</v>
      </c>
      <c r="F26" s="76" t="s">
        <v>461</v>
      </c>
      <c r="G26" s="76"/>
      <c r="H26" s="76"/>
      <c r="I26" s="7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7"/>
      <c r="Z26" s="77"/>
      <c r="AA26" s="77"/>
      <c r="AB26" s="77"/>
    </row>
    <row r="27" spans="1:28" ht="57" x14ac:dyDescent="0.25">
      <c r="A27" s="76" t="s">
        <v>477</v>
      </c>
      <c r="B27" s="76" t="s">
        <v>462</v>
      </c>
      <c r="C27" s="76" t="s">
        <v>463</v>
      </c>
      <c r="D27" s="76" t="s">
        <v>464</v>
      </c>
      <c r="E27" s="76" t="s">
        <v>465</v>
      </c>
      <c r="F27" s="76" t="s">
        <v>466</v>
      </c>
      <c r="G27" s="76"/>
      <c r="H27" s="76"/>
      <c r="I27" s="7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7"/>
      <c r="Z27" s="77"/>
      <c r="AA27" s="77"/>
      <c r="AB27" s="77"/>
    </row>
    <row r="28" spans="1:28" ht="71.25" x14ac:dyDescent="0.25">
      <c r="A28" s="76" t="s">
        <v>478</v>
      </c>
      <c r="B28" s="76" t="s">
        <v>467</v>
      </c>
      <c r="C28" s="76" t="s">
        <v>274</v>
      </c>
      <c r="D28" s="76" t="s">
        <v>468</v>
      </c>
      <c r="E28" s="76" t="s">
        <v>469</v>
      </c>
      <c r="F28" s="76" t="s">
        <v>470</v>
      </c>
      <c r="G28" s="76"/>
      <c r="H28" s="76"/>
      <c r="I28" s="7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7"/>
      <c r="Z28" s="77"/>
      <c r="AA28" s="77"/>
      <c r="AB28" s="77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7"/>
      <c r="Z29" s="77"/>
      <c r="AA29" s="77"/>
      <c r="AB29" s="77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7"/>
      <c r="Z30" s="77"/>
      <c r="AA30" s="77"/>
      <c r="AB30" s="77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7"/>
      <c r="Z31" s="77"/>
      <c r="AA31" s="77"/>
      <c r="AB31" s="77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7"/>
      <c r="Z32" s="77"/>
      <c r="AA32" s="77"/>
      <c r="AB32" s="77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7"/>
      <c r="Z33" s="77"/>
      <c r="AA33" s="77"/>
      <c r="AB33" s="77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7"/>
      <c r="Z34" s="77"/>
      <c r="AA34" s="77"/>
      <c r="AB34" s="77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7"/>
      <c r="Z35" s="77"/>
      <c r="AA35" s="77"/>
      <c r="AB35" s="77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7"/>
      <c r="Z36" s="77"/>
      <c r="AA36" s="77"/>
      <c r="AB36" s="77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7"/>
      <c r="Z37" s="77"/>
      <c r="AA37" s="77"/>
      <c r="AB37" s="77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7"/>
      <c r="Z38" s="77"/>
      <c r="AA38" s="77"/>
      <c r="AB38" s="77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7"/>
      <c r="Z39" s="77"/>
      <c r="AA39" s="77"/>
      <c r="AB39" s="77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7"/>
      <c r="Z40" s="77"/>
      <c r="AA40" s="77"/>
      <c r="AB40" s="77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7"/>
      <c r="Z41" s="77"/>
      <c r="AA41" s="77"/>
      <c r="AB41" s="77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7"/>
      <c r="Z42" s="77"/>
      <c r="AA42" s="77"/>
      <c r="AB42" s="77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7"/>
      <c r="Z43" s="77"/>
      <c r="AA43" s="77"/>
      <c r="AB43" s="77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7"/>
      <c r="Z44" s="77"/>
      <c r="AA44" s="77"/>
      <c r="AB44" s="77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7"/>
      <c r="Z45" s="77"/>
      <c r="AA45" s="77"/>
      <c r="AB45" s="77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7"/>
      <c r="Z46" s="77"/>
      <c r="AA46" s="77"/>
      <c r="AB46" s="77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7"/>
      <c r="Z47" s="77"/>
      <c r="AA47" s="77"/>
      <c r="AB47" s="77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7"/>
      <c r="Z48" s="77"/>
      <c r="AA48" s="77"/>
      <c r="AB48" s="77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7"/>
      <c r="Z49" s="77"/>
      <c r="AA49" s="77"/>
      <c r="AB49" s="77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7"/>
      <c r="Z50" s="77"/>
      <c r="AA50" s="77"/>
      <c r="AB50" s="77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7"/>
      <c r="Z51" s="77"/>
      <c r="AA51" s="77"/>
      <c r="AB51" s="77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7"/>
      <c r="Z52" s="77"/>
      <c r="AA52" s="77"/>
      <c r="AB52" s="77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7"/>
      <c r="Z53" s="77"/>
      <c r="AA53" s="77"/>
      <c r="AB53" s="77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7"/>
      <c r="Z54" s="77"/>
      <c r="AA54" s="77"/>
      <c r="AB54" s="77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7"/>
      <c r="Z55" s="77"/>
      <c r="AA55" s="77"/>
      <c r="AB55" s="77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7"/>
      <c r="Z56" s="77"/>
      <c r="AA56" s="77"/>
      <c r="AB56" s="77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7"/>
      <c r="Z57" s="77"/>
      <c r="AA57" s="77"/>
      <c r="AB57" s="77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7"/>
      <c r="Z58" s="77"/>
      <c r="AA58" s="77"/>
      <c r="AB58" s="77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7"/>
      <c r="Z59" s="77"/>
      <c r="AA59" s="77"/>
      <c r="AB59" s="77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7"/>
      <c r="Z60" s="77"/>
      <c r="AA60" s="77"/>
      <c r="AB60" s="77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7"/>
      <c r="Z61" s="77"/>
      <c r="AA61" s="77"/>
      <c r="AB61" s="77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7"/>
      <c r="Z62" s="77"/>
      <c r="AA62" s="77"/>
      <c r="AB62" s="77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7"/>
      <c r="Z63" s="77"/>
      <c r="AA63" s="77"/>
      <c r="AB63" s="77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7"/>
      <c r="Z64" s="77"/>
      <c r="AA64" s="77"/>
      <c r="AB64" s="77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7"/>
      <c r="Z65" s="77"/>
      <c r="AA65" s="77"/>
      <c r="AB65" s="77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7"/>
      <c r="Z66" s="77"/>
      <c r="AA66" s="77"/>
      <c r="AB66" s="77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7"/>
      <c r="Z67" s="77"/>
      <c r="AA67" s="77"/>
      <c r="AB67" s="7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7"/>
      <c r="Z68" s="77"/>
      <c r="AA68" s="77"/>
      <c r="AB68" s="77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7"/>
      <c r="Z69" s="77"/>
      <c r="AA69" s="77"/>
      <c r="AB69" s="77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7"/>
      <c r="Z70" s="77"/>
      <c r="AA70" s="77"/>
      <c r="AB70" s="77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7"/>
      <c r="Z71" s="77"/>
      <c r="AA71" s="77"/>
      <c r="AB71" s="77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7"/>
      <c r="Z72" s="77"/>
      <c r="AA72" s="77"/>
      <c r="AB72" s="77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7"/>
      <c r="Z73" s="77"/>
      <c r="AA73" s="77"/>
      <c r="AB73" s="77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7"/>
      <c r="Z74" s="77"/>
      <c r="AA74" s="77"/>
      <c r="AB74" s="77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7"/>
      <c r="Z75" s="77"/>
      <c r="AA75" s="77"/>
      <c r="AB75" s="77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7"/>
      <c r="Z76" s="77"/>
      <c r="AA76" s="77"/>
      <c r="AB76" s="77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7"/>
      <c r="Z77" s="77"/>
      <c r="AA77" s="77"/>
      <c r="AB77" s="77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7"/>
      <c r="Z78" s="77"/>
      <c r="AA78" s="77"/>
      <c r="AB78" s="77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7"/>
      <c r="Z79" s="77"/>
      <c r="AA79" s="77"/>
      <c r="AB79" s="77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7"/>
      <c r="Z80" s="77"/>
      <c r="AA80" s="77"/>
      <c r="AB80" s="77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7"/>
      <c r="Z81" s="77"/>
      <c r="AA81" s="77"/>
      <c r="AB81" s="77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7"/>
      <c r="Z82" s="77"/>
      <c r="AA82" s="77"/>
      <c r="AB82" s="77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7"/>
      <c r="Z83" s="77"/>
      <c r="AA83" s="77"/>
      <c r="AB83" s="77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7"/>
      <c r="Z84" s="77"/>
      <c r="AA84" s="77"/>
      <c r="AB84" s="77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7"/>
      <c r="Z85" s="77"/>
      <c r="AA85" s="77"/>
      <c r="AB85" s="77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7"/>
      <c r="Z86" s="77"/>
      <c r="AA86" s="77"/>
      <c r="AB86" s="77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7"/>
      <c r="Z87" s="77"/>
      <c r="AA87" s="77"/>
      <c r="AB87" s="77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7"/>
      <c r="Z88" s="77"/>
      <c r="AA88" s="77"/>
      <c r="AB88" s="77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7"/>
      <c r="Z89" s="77"/>
      <c r="AA89" s="77"/>
      <c r="AB89" s="77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7"/>
      <c r="Z90" s="77"/>
      <c r="AA90" s="77"/>
      <c r="AB90" s="77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7"/>
      <c r="Z91" s="77"/>
      <c r="AA91" s="77"/>
      <c r="AB91" s="77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7"/>
      <c r="Z92" s="77"/>
      <c r="AA92" s="77"/>
      <c r="AB92" s="77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7"/>
      <c r="Z93" s="77"/>
      <c r="AA93" s="77"/>
      <c r="AB93" s="77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7"/>
      <c r="Z94" s="77"/>
      <c r="AA94" s="77"/>
      <c r="AB94" s="77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7"/>
      <c r="Z95" s="77"/>
      <c r="AA95" s="77"/>
      <c r="AB95" s="77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7"/>
      <c r="Z96" s="77"/>
      <c r="AA96" s="77"/>
      <c r="AB96" s="77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7"/>
      <c r="Z97" s="77"/>
      <c r="AA97" s="77"/>
      <c r="AB97" s="77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7"/>
      <c r="Z98" s="77"/>
      <c r="AA98" s="77"/>
      <c r="AB98" s="77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7"/>
      <c r="Z99" s="77"/>
      <c r="AA99" s="77"/>
      <c r="AB99" s="77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7"/>
      <c r="Z100" s="77"/>
      <c r="AA100" s="77"/>
      <c r="AB100" s="77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7"/>
      <c r="Z101" s="77"/>
      <c r="AA101" s="77"/>
      <c r="AB101" s="77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7"/>
      <c r="Z102" s="77"/>
      <c r="AA102" s="77"/>
      <c r="AB102" s="77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7"/>
      <c r="Z103" s="77"/>
      <c r="AA103" s="77"/>
      <c r="AB103" s="77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7"/>
      <c r="Z104" s="77"/>
      <c r="AA104" s="77"/>
      <c r="AB104" s="77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7"/>
      <c r="Z105" s="77"/>
      <c r="AA105" s="77"/>
      <c r="AB105" s="77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7"/>
      <c r="Z106" s="77"/>
      <c r="AA106" s="77"/>
      <c r="AB106" s="77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7"/>
      <c r="Z107" s="77"/>
      <c r="AA107" s="77"/>
      <c r="AB107" s="77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7"/>
      <c r="Z108" s="77"/>
      <c r="AA108" s="77"/>
      <c r="AB108" s="77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7"/>
      <c r="Z109" s="77"/>
      <c r="AA109" s="77"/>
      <c r="AB109" s="77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7"/>
      <c r="Z110" s="77"/>
      <c r="AA110" s="77"/>
      <c r="AB110" s="77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7"/>
      <c r="Z111" s="77"/>
      <c r="AA111" s="77"/>
      <c r="AB111" s="77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7"/>
      <c r="Z112" s="77"/>
      <c r="AA112" s="77"/>
      <c r="AB112" s="77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7"/>
      <c r="Z113" s="77"/>
      <c r="AA113" s="77"/>
      <c r="AB113" s="77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7"/>
      <c r="Z114" s="77"/>
      <c r="AA114" s="77"/>
      <c r="AB114" s="77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7"/>
      <c r="Z115" s="77"/>
      <c r="AA115" s="77"/>
      <c r="AB115" s="77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7"/>
      <c r="Z116" s="77"/>
      <c r="AA116" s="77"/>
      <c r="AB116" s="77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7"/>
      <c r="Z117" s="77"/>
      <c r="AA117" s="77"/>
      <c r="AB117" s="77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7"/>
      <c r="Z118" s="77"/>
      <c r="AA118" s="77"/>
      <c r="AB118" s="77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7"/>
      <c r="Z119" s="77"/>
      <c r="AA119" s="77"/>
      <c r="AB119" s="77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7"/>
      <c r="Z120" s="77"/>
      <c r="AA120" s="77"/>
      <c r="AB120" s="77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7"/>
      <c r="Z121" s="77"/>
      <c r="AA121" s="77"/>
      <c r="AB121" s="77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7"/>
      <c r="Z122" s="77"/>
      <c r="AA122" s="77"/>
      <c r="AB122" s="77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7"/>
      <c r="Z123" s="77"/>
      <c r="AA123" s="77"/>
      <c r="AB123" s="77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7"/>
      <c r="Z124" s="77"/>
      <c r="AA124" s="77"/>
      <c r="AB124" s="77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7"/>
      <c r="Z125" s="77"/>
      <c r="AA125" s="77"/>
      <c r="AB125" s="77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7"/>
      <c r="Z126" s="77"/>
      <c r="AA126" s="77"/>
      <c r="AB126" s="77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7"/>
      <c r="Z127" s="77"/>
      <c r="AA127" s="77"/>
      <c r="AB127" s="77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7"/>
      <c r="Z128" s="77"/>
      <c r="AA128" s="77"/>
      <c r="AB128" s="77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7"/>
      <c r="Z129" s="77"/>
      <c r="AA129" s="77"/>
      <c r="AB129" s="77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7"/>
      <c r="Z130" s="77"/>
      <c r="AA130" s="77"/>
      <c r="AB130" s="77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7"/>
      <c r="Z131" s="77"/>
      <c r="AA131" s="77"/>
      <c r="AB131" s="77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7"/>
      <c r="Z132" s="77"/>
      <c r="AA132" s="77"/>
      <c r="AB132" s="77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7"/>
      <c r="Z133" s="77"/>
      <c r="AA133" s="77"/>
      <c r="AB133" s="77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7"/>
      <c r="Z134" s="77"/>
      <c r="AA134" s="77"/>
      <c r="AB134" s="77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7"/>
      <c r="Z135" s="77"/>
      <c r="AA135" s="77"/>
      <c r="AB135" s="77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7"/>
      <c r="Z136" s="77"/>
      <c r="AA136" s="77"/>
      <c r="AB136" s="77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7"/>
      <c r="Z137" s="77"/>
      <c r="AA137" s="77"/>
      <c r="AB137" s="77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7"/>
      <c r="Z138" s="77"/>
      <c r="AA138" s="77"/>
      <c r="AB138" s="77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7"/>
      <c r="Z139" s="77"/>
      <c r="AA139" s="77"/>
      <c r="AB139" s="77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7"/>
      <c r="Z140" s="77"/>
      <c r="AA140" s="77"/>
      <c r="AB140" s="77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7"/>
      <c r="Z141" s="77"/>
      <c r="AA141" s="77"/>
      <c r="AB141" s="77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7"/>
      <c r="Z142" s="77"/>
      <c r="AA142" s="77"/>
      <c r="AB142" s="77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7"/>
      <c r="Z143" s="77"/>
      <c r="AA143" s="77"/>
      <c r="AB143" s="77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7"/>
      <c r="Z144" s="77"/>
      <c r="AA144" s="77"/>
      <c r="AB144" s="77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7"/>
      <c r="Z145" s="77"/>
      <c r="AA145" s="77"/>
      <c r="AB145" s="77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7"/>
      <c r="Z146" s="77"/>
      <c r="AA146" s="77"/>
      <c r="AB146" s="77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7"/>
      <c r="Z147" s="77"/>
      <c r="AA147" s="77"/>
      <c r="AB147" s="77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7"/>
      <c r="Z148" s="77"/>
      <c r="AA148" s="77"/>
      <c r="AB148" s="77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7"/>
      <c r="Z149" s="77"/>
      <c r="AA149" s="77"/>
      <c r="AB149" s="77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7"/>
      <c r="Z150" s="77"/>
      <c r="AA150" s="77"/>
      <c r="AB150" s="77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7"/>
      <c r="Z151" s="77"/>
      <c r="AA151" s="77"/>
      <c r="AB151" s="77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7"/>
      <c r="Z152" s="77"/>
      <c r="AA152" s="77"/>
      <c r="AB152" s="77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7"/>
      <c r="Z153" s="77"/>
      <c r="AA153" s="77"/>
      <c r="AB153" s="77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7"/>
      <c r="Z154" s="77"/>
      <c r="AA154" s="77"/>
      <c r="AB154" s="77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7"/>
      <c r="Z155" s="77"/>
      <c r="AA155" s="77"/>
      <c r="AB155" s="77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7"/>
      <c r="Z156" s="77"/>
      <c r="AA156" s="77"/>
      <c r="AB156" s="77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7"/>
      <c r="Z157" s="77"/>
      <c r="AA157" s="77"/>
      <c r="AB157" s="77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7"/>
      <c r="Z158" s="77"/>
      <c r="AA158" s="77"/>
      <c r="AB158" s="77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7"/>
      <c r="Z159" s="77"/>
      <c r="AA159" s="77"/>
      <c r="AB159" s="77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7"/>
      <c r="Z160" s="77"/>
      <c r="AA160" s="77"/>
      <c r="AB160" s="77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7"/>
      <c r="Z161" s="77"/>
      <c r="AA161" s="77"/>
      <c r="AB161" s="77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7"/>
      <c r="Z162" s="77"/>
      <c r="AA162" s="77"/>
      <c r="AB162" s="77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7"/>
      <c r="Z163" s="77"/>
      <c r="AA163" s="77"/>
      <c r="AB163" s="77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7"/>
      <c r="Z164" s="77"/>
      <c r="AA164" s="77"/>
      <c r="AB164" s="77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7"/>
      <c r="Z165" s="77"/>
      <c r="AA165" s="77"/>
      <c r="AB165" s="77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7"/>
      <c r="Z166" s="77"/>
      <c r="AA166" s="77"/>
      <c r="AB166" s="77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7"/>
      <c r="Z167" s="77"/>
      <c r="AA167" s="77"/>
      <c r="AB167" s="77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7"/>
      <c r="Z168" s="77"/>
      <c r="AA168" s="77"/>
      <c r="AB168" s="77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7"/>
      <c r="Z169" s="77"/>
      <c r="AA169" s="77"/>
      <c r="AB169" s="77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7"/>
      <c r="Z170" s="77"/>
      <c r="AA170" s="77"/>
      <c r="AB170" s="77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7"/>
      <c r="Z171" s="77"/>
      <c r="AA171" s="77"/>
      <c r="AB171" s="77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7"/>
      <c r="Z172" s="77"/>
      <c r="AA172" s="77"/>
      <c r="AB172" s="77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7"/>
      <c r="Z173" s="77"/>
      <c r="AA173" s="77"/>
      <c r="AB173" s="77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7"/>
      <c r="Z174" s="77"/>
      <c r="AA174" s="77"/>
      <c r="AB174" s="77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x14ac:dyDescent="0.25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x14ac:dyDescent="0.25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x14ac:dyDescent="0.25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x14ac:dyDescent="0.25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x14ac:dyDescent="0.25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 spans="1:28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 spans="1:28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 spans="1:28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 spans="1:28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 spans="1:28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 spans="1:28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 spans="1:28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 spans="1:28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 spans="1:28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 spans="1:28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 spans="1:28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 spans="1:28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 spans="1:28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 spans="1:28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 spans="1:28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 spans="1:28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 spans="1:28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 spans="1:28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 spans="1:28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 spans="1:28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 spans="1:28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 spans="1:28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 spans="1:28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 spans="1:28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 spans="1:28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 spans="1:28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 spans="1:28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 spans="1:28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 spans="1:28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 spans="1:28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 spans="1:28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 spans="1:28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 spans="1:28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 spans="1:28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 spans="1:28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 spans="1:28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 spans="1:28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 spans="1:28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 spans="1:28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 spans="1:28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 spans="1:28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 spans="1:28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 spans="1:28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 spans="1:28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 spans="1:28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 spans="1:28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 spans="1:28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 spans="1:28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 spans="1:28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 spans="1:28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 spans="1:28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 spans="1:28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 spans="1:28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 spans="1:28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 spans="1:28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 spans="1:28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 spans="1:28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 spans="1:28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 spans="1:28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 spans="1:28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 spans="1:28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 spans="1:28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 spans="1:28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 spans="1:28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 spans="1:28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 spans="1:28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 spans="1:28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 spans="1:28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 spans="1:28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 spans="1:28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 spans="1:28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 spans="1:28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 spans="1:28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 spans="1:28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 spans="1:28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 spans="1:28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 spans="1:28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 spans="1:28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 spans="1:28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 spans="1:28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 spans="1:28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 spans="1:28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 spans="1:28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 spans="1:28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 spans="1:28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 spans="1:28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 spans="1:28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 spans="1:28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 spans="1:28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 spans="1:28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 spans="1:28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 spans="1:28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 spans="1:28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 spans="1:28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 spans="1:28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 spans="1:28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 spans="1:28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 spans="1:28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 spans="1:28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 spans="1:28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 spans="1:28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 spans="1:28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 spans="1:28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 spans="1:28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 spans="1:28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 spans="1:28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 spans="1:28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 spans="1:28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 spans="1:28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 spans="1:28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 spans="1:28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 spans="1:28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 spans="1:28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 spans="1:28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 spans="1:28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 spans="1:28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 spans="1:28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 spans="1:28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 spans="1:28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 spans="1:28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 spans="1:28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 spans="1:28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 spans="1:28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 spans="1:28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 spans="1:28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 spans="1:28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 spans="1:28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 spans="1:28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 spans="1:28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 spans="1:28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 spans="1:28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 spans="1:28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 spans="1:28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 spans="1:28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 spans="1:28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 spans="1:28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 spans="1:28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 spans="1:28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 spans="1:28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 spans="1:28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 spans="1:28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 spans="1:28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 spans="1:28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 spans="1:28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 spans="1:28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 spans="1:28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 spans="1:28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 spans="1:28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 spans="1:28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 spans="1:28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 spans="1:28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 spans="1:28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 spans="1:28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 spans="1:28" x14ac:dyDescent="0.25">
      <c r="A952" s="77"/>
      <c r="B952" s="77"/>
      <c r="C952" s="77"/>
      <c r="D952" s="77"/>
      <c r="E952" s="77"/>
      <c r="F952" s="77"/>
      <c r="G952" s="77"/>
      <c r="H952" s="77"/>
      <c r="I952" s="77"/>
    </row>
    <row r="953" spans="1:28" x14ac:dyDescent="0.25">
      <c r="A953" s="77"/>
      <c r="B953" s="77"/>
      <c r="C953" s="77"/>
      <c r="D953" s="77"/>
      <c r="E953" s="77"/>
      <c r="F953" s="77"/>
      <c r="G953" s="77"/>
      <c r="H953" s="77"/>
      <c r="I953" s="77"/>
    </row>
    <row r="954" spans="1:28" x14ac:dyDescent="0.25">
      <c r="A954" s="77"/>
      <c r="B954" s="77"/>
      <c r="C954" s="77"/>
      <c r="D954" s="77"/>
      <c r="E954" s="77"/>
      <c r="F954" s="77"/>
      <c r="G954" s="77"/>
      <c r="H954" s="77"/>
      <c r="I954" s="77"/>
    </row>
    <row r="955" spans="1:28" x14ac:dyDescent="0.25">
      <c r="A955" s="77"/>
      <c r="B955" s="77"/>
      <c r="C955" s="77"/>
      <c r="D955" s="77"/>
      <c r="E955" s="77"/>
      <c r="F955" s="77"/>
      <c r="G955" s="77"/>
      <c r="H955" s="77"/>
      <c r="I955" s="77"/>
    </row>
    <row r="956" spans="1:28" x14ac:dyDescent="0.25">
      <c r="A956" s="77"/>
      <c r="B956" s="77"/>
      <c r="C956" s="77"/>
      <c r="D956" s="77"/>
      <c r="E956" s="77"/>
      <c r="F956" s="77"/>
      <c r="G956" s="77"/>
      <c r="H956" s="77"/>
      <c r="I956" s="77"/>
    </row>
    <row r="957" spans="1:28" x14ac:dyDescent="0.25">
      <c r="A957" s="77"/>
      <c r="B957" s="77"/>
      <c r="C957" s="77"/>
      <c r="D957" s="77"/>
      <c r="E957" s="77"/>
      <c r="F957" s="77"/>
      <c r="G957" s="77"/>
      <c r="H957" s="77"/>
      <c r="I957" s="77"/>
    </row>
    <row r="958" spans="1:28" x14ac:dyDescent="0.25">
      <c r="A958" s="77"/>
      <c r="B958" s="77"/>
      <c r="C958" s="77"/>
      <c r="D958" s="77"/>
      <c r="E958" s="77"/>
      <c r="F958" s="77"/>
      <c r="G958" s="77"/>
      <c r="H958" s="77"/>
      <c r="I958" s="77"/>
    </row>
    <row r="959" spans="1:28" x14ac:dyDescent="0.25">
      <c r="A959" s="77"/>
      <c r="B959" s="77"/>
      <c r="C959" s="77"/>
      <c r="D959" s="77"/>
      <c r="E959" s="77"/>
      <c r="F959" s="77"/>
      <c r="G959" s="77"/>
      <c r="H959" s="77"/>
      <c r="I959" s="77"/>
    </row>
    <row r="960" spans="1:28" x14ac:dyDescent="0.25">
      <c r="A960" s="77"/>
      <c r="B960" s="77"/>
      <c r="C960" s="77"/>
      <c r="D960" s="77"/>
      <c r="E960" s="77"/>
      <c r="F960" s="77"/>
      <c r="G960" s="77"/>
      <c r="H960" s="77"/>
      <c r="I960" s="77"/>
    </row>
    <row r="961" spans="1:9" x14ac:dyDescent="0.25">
      <c r="A961" s="77"/>
      <c r="B961" s="77"/>
      <c r="C961" s="77"/>
      <c r="D961" s="77"/>
      <c r="E961" s="77"/>
      <c r="F961" s="77"/>
      <c r="G961" s="77"/>
      <c r="H961" s="77"/>
      <c r="I961" s="77"/>
    </row>
    <row r="962" spans="1:9" x14ac:dyDescent="0.25">
      <c r="A962" s="77"/>
      <c r="B962" s="77"/>
      <c r="C962" s="77"/>
      <c r="D962" s="77"/>
      <c r="E962" s="77"/>
      <c r="F962" s="77"/>
      <c r="G962" s="77"/>
      <c r="H962" s="77"/>
      <c r="I962" s="77"/>
    </row>
  </sheetData>
  <mergeCells count="1">
    <mergeCell ref="B2:I2"/>
  </mergeCells>
  <phoneticPr fontId="18" type="noConversion"/>
  <dataValidations count="1">
    <dataValidation type="list" allowBlank="1" showInputMessage="1" showErrorMessage="1" sqref="H11:H28" xr:uid="{0361E067-DC25-40EB-9FA7-162AE04FB838}">
      <formula1>"'Pass,'Fail,'Untest,'N/A"</formula1>
    </dataValidation>
  </dataValidations>
  <hyperlinks>
    <hyperlink ref="B4" location="null!A1" display="Back to TestReport" xr:uid="{1CA74BB9-EDE6-48DE-83B4-F0269AF4753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09BD-8767-4C6A-9BA8-5ADEE739BDE7}">
  <dimension ref="A1:AB967"/>
  <sheetViews>
    <sheetView workbookViewId="0">
      <selection activeCell="F13" sqref="F13"/>
    </sheetView>
  </sheetViews>
  <sheetFormatPr defaultColWidth="14.42578125" defaultRowHeight="15" x14ac:dyDescent="0.25"/>
  <cols>
    <col min="1" max="1" width="14.5703125" customWidth="1"/>
    <col min="2" max="2" width="27.28515625" bestFit="1" customWidth="1"/>
    <col min="3" max="3" width="26" customWidth="1"/>
    <col min="4" max="4" width="23.140625" customWidth="1"/>
    <col min="5" max="5" width="24.28515625" customWidth="1"/>
    <col min="6" max="6" width="38.28515625" customWidth="1"/>
    <col min="7" max="7" width="11.28515625" customWidth="1"/>
    <col min="8" max="8" width="18" bestFit="1" customWidth="1"/>
    <col min="9" max="9" width="11.140625" customWidth="1"/>
    <col min="10" max="17" width="10.28515625" customWidth="1"/>
    <col min="18" max="24" width="9.140625" customWidth="1"/>
    <col min="25" max="28" width="17.28515625" customWidth="1"/>
  </cols>
  <sheetData>
    <row r="1" spans="1:28" s="49" customFormat="1" x14ac:dyDescent="0.25"/>
    <row r="2" spans="1:28" s="49" customFormat="1" ht="25.5" customHeight="1" x14ac:dyDescent="0.4">
      <c r="A2" s="51"/>
      <c r="B2" s="130" t="s">
        <v>282</v>
      </c>
      <c r="C2" s="130"/>
      <c r="D2" s="130"/>
      <c r="E2" s="130"/>
      <c r="F2" s="130"/>
      <c r="G2" s="130"/>
      <c r="H2" s="130"/>
      <c r="I2" s="130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8" ht="15.75" thickBot="1" x14ac:dyDescent="0.3">
      <c r="A3" s="52"/>
      <c r="B3" s="53"/>
      <c r="C3" s="53"/>
      <c r="D3" s="53"/>
      <c r="E3" s="53"/>
      <c r="F3" s="53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77"/>
      <c r="Z3" s="77"/>
      <c r="AA3" s="77"/>
    </row>
    <row r="4" spans="1:28" x14ac:dyDescent="0.25">
      <c r="A4" s="54"/>
      <c r="B4" s="55" t="s">
        <v>24</v>
      </c>
      <c r="C4" s="55" t="str">
        <f>HYPERLINK("#'Test case List'!A1","Test case List")</f>
        <v>Test case List</v>
      </c>
      <c r="D4" s="54"/>
      <c r="E4" s="54"/>
      <c r="F4" s="54"/>
      <c r="G4" s="56" t="s">
        <v>25</v>
      </c>
      <c r="H4" s="57">
        <f>COUNTIF($A$11:$A$833, "CART*")</f>
        <v>13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7"/>
      <c r="Z4" s="37"/>
      <c r="AA4" s="37"/>
      <c r="AB4" s="37"/>
    </row>
    <row r="5" spans="1:28" x14ac:dyDescent="0.25">
      <c r="A5" s="54"/>
      <c r="B5" s="58" t="s">
        <v>26</v>
      </c>
      <c r="C5" s="59" t="s">
        <v>114</v>
      </c>
      <c r="D5" s="54"/>
      <c r="E5" s="54"/>
      <c r="F5" s="54"/>
      <c r="G5" s="60" t="s">
        <v>27</v>
      </c>
      <c r="H5" s="61">
        <f>(COUNTIF(H11:H18,"Pass"))</f>
        <v>0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7"/>
      <c r="Z5" s="37"/>
      <c r="AA5" s="37"/>
      <c r="AB5" s="37"/>
    </row>
    <row r="6" spans="1:28" ht="15.75" thickBot="1" x14ac:dyDescent="0.3">
      <c r="A6" s="54"/>
      <c r="B6" s="62" t="s">
        <v>28</v>
      </c>
      <c r="C6" s="63"/>
      <c r="D6" s="54"/>
      <c r="E6" s="54"/>
      <c r="F6" s="54"/>
      <c r="G6" s="60" t="s">
        <v>29</v>
      </c>
      <c r="H6" s="61">
        <f>(COUNTIF(H11:H18,"Fail"))</f>
        <v>0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7"/>
      <c r="Z6" s="37"/>
      <c r="AA6" s="37"/>
      <c r="AB6" s="37"/>
    </row>
    <row r="7" spans="1:28" ht="15.75" thickBot="1" x14ac:dyDescent="0.3">
      <c r="A7" s="54"/>
      <c r="B7" s="64"/>
      <c r="C7" s="64"/>
      <c r="D7" s="54"/>
      <c r="E7" s="54"/>
      <c r="F7" s="54"/>
      <c r="G7" s="60" t="s">
        <v>30</v>
      </c>
      <c r="H7" s="61">
        <f>(COUNTIF(H11:H18,"Untest"))</f>
        <v>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37"/>
      <c r="Z7" s="37"/>
      <c r="AA7" s="37"/>
      <c r="AB7" s="37"/>
    </row>
    <row r="8" spans="1:28" ht="15.75" thickBot="1" x14ac:dyDescent="0.3">
      <c r="A8" s="64"/>
      <c r="B8" s="65" t="s">
        <v>31</v>
      </c>
      <c r="C8" s="66" t="str">
        <f>ROUND((H5 / (H4-H8))*100,2)&amp;"%"</f>
        <v>0%</v>
      </c>
      <c r="D8" s="54"/>
      <c r="E8" s="54"/>
      <c r="F8" s="54"/>
      <c r="G8" s="67" t="s">
        <v>32</v>
      </c>
      <c r="H8" s="68">
        <f>(COUNTIF(H11:H18,"N/A"))</f>
        <v>0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37"/>
      <c r="Z8" s="37"/>
      <c r="AA8" s="37"/>
      <c r="AB8" s="37"/>
    </row>
    <row r="9" spans="1:28" x14ac:dyDescent="0.25">
      <c r="A9" s="69"/>
      <c r="B9" s="69"/>
      <c r="C9" s="69"/>
      <c r="D9" s="70"/>
      <c r="E9" s="70"/>
      <c r="F9" s="71"/>
      <c r="G9" s="71"/>
      <c r="H9" s="71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7"/>
      <c r="Z9" s="77"/>
      <c r="AA9" s="77"/>
      <c r="AB9" s="77"/>
    </row>
    <row r="10" spans="1:28" x14ac:dyDescent="0.25">
      <c r="A10" s="72" t="s">
        <v>33</v>
      </c>
      <c r="B10" s="72" t="s">
        <v>34</v>
      </c>
      <c r="C10" s="73" t="s">
        <v>8</v>
      </c>
      <c r="D10" s="72" t="s">
        <v>35</v>
      </c>
      <c r="E10" s="73" t="s">
        <v>36</v>
      </c>
      <c r="F10" s="72" t="s">
        <v>37</v>
      </c>
      <c r="G10" s="74" t="s">
        <v>38</v>
      </c>
      <c r="H10" s="75" t="s">
        <v>39</v>
      </c>
      <c r="I10" s="73" t="s">
        <v>40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7"/>
      <c r="AB10" s="77"/>
    </row>
    <row r="11" spans="1:28" ht="71.25" x14ac:dyDescent="0.25">
      <c r="A11" s="76" t="s">
        <v>71</v>
      </c>
      <c r="B11" s="76" t="s">
        <v>284</v>
      </c>
      <c r="C11" s="76" t="s">
        <v>285</v>
      </c>
      <c r="D11" s="76" t="s">
        <v>286</v>
      </c>
      <c r="E11" s="76" t="s">
        <v>287</v>
      </c>
      <c r="F11" s="76" t="s">
        <v>288</v>
      </c>
      <c r="G11" s="76"/>
      <c r="H11" s="76"/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77"/>
      <c r="AB11" s="77"/>
    </row>
    <row r="12" spans="1:28" ht="57" x14ac:dyDescent="0.25">
      <c r="A12" s="76" t="s">
        <v>72</v>
      </c>
      <c r="B12" s="76" t="s">
        <v>289</v>
      </c>
      <c r="C12" s="76" t="s">
        <v>290</v>
      </c>
      <c r="D12" s="76" t="s">
        <v>291</v>
      </c>
      <c r="E12" s="76" t="s">
        <v>292</v>
      </c>
      <c r="F12" s="76" t="s">
        <v>293</v>
      </c>
      <c r="G12" s="76"/>
      <c r="H12" s="76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7"/>
      <c r="Z12" s="77"/>
      <c r="AA12" s="77"/>
      <c r="AB12" s="77"/>
    </row>
    <row r="13" spans="1:28" ht="99.75" x14ac:dyDescent="0.25">
      <c r="A13" s="76" t="s">
        <v>73</v>
      </c>
      <c r="B13" s="76" t="s">
        <v>294</v>
      </c>
      <c r="C13" s="76" t="s">
        <v>295</v>
      </c>
      <c r="D13" s="76" t="s">
        <v>296</v>
      </c>
      <c r="E13" s="76" t="s">
        <v>297</v>
      </c>
      <c r="F13" s="76" t="s">
        <v>298</v>
      </c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7"/>
      <c r="Z13" s="77"/>
      <c r="AA13" s="77"/>
      <c r="AB13" s="77"/>
    </row>
    <row r="14" spans="1:28" ht="99.75" x14ac:dyDescent="0.25">
      <c r="A14" s="76" t="s">
        <v>74</v>
      </c>
      <c r="B14" s="76" t="s">
        <v>299</v>
      </c>
      <c r="C14" s="76" t="s">
        <v>300</v>
      </c>
      <c r="D14" s="76" t="s">
        <v>301</v>
      </c>
      <c r="E14" s="76" t="s">
        <v>302</v>
      </c>
      <c r="F14" s="76" t="s">
        <v>303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7"/>
      <c r="Z14" s="77"/>
      <c r="AA14" s="77"/>
      <c r="AB14" s="77"/>
    </row>
    <row r="15" spans="1:28" ht="42.75" x14ac:dyDescent="0.25">
      <c r="A15" s="76" t="s">
        <v>75</v>
      </c>
      <c r="B15" s="76" t="s">
        <v>304</v>
      </c>
      <c r="C15" s="76" t="s">
        <v>305</v>
      </c>
      <c r="D15" s="76" t="s">
        <v>306</v>
      </c>
      <c r="E15" s="76" t="s">
        <v>32</v>
      </c>
      <c r="F15" s="76" t="s">
        <v>307</v>
      </c>
      <c r="G15" s="76"/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77"/>
      <c r="AB15" s="77"/>
    </row>
    <row r="16" spans="1:28" ht="71.25" x14ac:dyDescent="0.25">
      <c r="A16" s="76" t="s">
        <v>76</v>
      </c>
      <c r="B16" s="76" t="s">
        <v>308</v>
      </c>
      <c r="C16" s="76" t="s">
        <v>300</v>
      </c>
      <c r="D16" s="76" t="s">
        <v>309</v>
      </c>
      <c r="E16" s="76" t="s">
        <v>310</v>
      </c>
      <c r="F16" s="76" t="s">
        <v>311</v>
      </c>
      <c r="G16" s="76"/>
      <c r="H16" s="76"/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77"/>
      <c r="Z16" s="77"/>
      <c r="AA16" s="77"/>
      <c r="AB16" s="77"/>
    </row>
    <row r="17" spans="1:28" ht="71.25" x14ac:dyDescent="0.25">
      <c r="A17" s="76" t="s">
        <v>77</v>
      </c>
      <c r="B17" s="76" t="s">
        <v>312</v>
      </c>
      <c r="C17" s="76" t="s">
        <v>313</v>
      </c>
      <c r="D17" s="76" t="s">
        <v>314</v>
      </c>
      <c r="E17" s="76" t="s">
        <v>315</v>
      </c>
      <c r="F17" s="76" t="s">
        <v>316</v>
      </c>
      <c r="G17" s="76"/>
      <c r="H17" s="76"/>
      <c r="I17" s="7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7"/>
      <c r="Z17" s="77"/>
      <c r="AA17" s="77"/>
      <c r="AB17" s="77"/>
    </row>
    <row r="18" spans="1:28" ht="85.5" x14ac:dyDescent="0.25">
      <c r="A18" s="76" t="s">
        <v>78</v>
      </c>
      <c r="B18" s="76" t="s">
        <v>317</v>
      </c>
      <c r="C18" s="76" t="s">
        <v>318</v>
      </c>
      <c r="D18" s="76" t="s">
        <v>319</v>
      </c>
      <c r="E18" s="76" t="s">
        <v>320</v>
      </c>
      <c r="F18" s="76" t="s">
        <v>321</v>
      </c>
      <c r="G18" s="76"/>
      <c r="H18" s="76"/>
      <c r="I18" s="7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7"/>
      <c r="Z18" s="77"/>
      <c r="AA18" s="77"/>
      <c r="AB18" s="77"/>
    </row>
    <row r="19" spans="1:28" ht="85.5" x14ac:dyDescent="0.25">
      <c r="A19" s="76" t="s">
        <v>79</v>
      </c>
      <c r="B19" s="76" t="s">
        <v>323</v>
      </c>
      <c r="C19" s="76" t="s">
        <v>324</v>
      </c>
      <c r="D19" s="76" t="s">
        <v>325</v>
      </c>
      <c r="E19" s="76" t="s">
        <v>326</v>
      </c>
      <c r="F19" s="76" t="s">
        <v>327</v>
      </c>
      <c r="G19" s="76"/>
      <c r="H19" s="76"/>
      <c r="I19" s="7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7"/>
      <c r="Z19" s="77"/>
      <c r="AA19" s="77"/>
      <c r="AB19" s="77"/>
    </row>
    <row r="20" spans="1:28" ht="42.75" x14ac:dyDescent="0.25">
      <c r="A20" s="76" t="s">
        <v>90</v>
      </c>
      <c r="B20" s="76" t="s">
        <v>328</v>
      </c>
      <c r="C20" s="76" t="s">
        <v>329</v>
      </c>
      <c r="D20" s="76" t="s">
        <v>330</v>
      </c>
      <c r="E20" s="76" t="s">
        <v>326</v>
      </c>
      <c r="F20" s="76" t="s">
        <v>331</v>
      </c>
      <c r="G20" s="76"/>
      <c r="H20" s="76"/>
      <c r="I20" s="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7"/>
      <c r="Z20" s="77"/>
      <c r="AA20" s="77"/>
      <c r="AB20" s="77"/>
    </row>
    <row r="21" spans="1:28" ht="57" x14ac:dyDescent="0.25">
      <c r="A21" s="76" t="s">
        <v>343</v>
      </c>
      <c r="B21" s="76" t="s">
        <v>332</v>
      </c>
      <c r="C21" s="76" t="s">
        <v>300</v>
      </c>
      <c r="D21" s="76" t="s">
        <v>333</v>
      </c>
      <c r="E21" s="76" t="s">
        <v>32</v>
      </c>
      <c r="F21" s="76" t="s">
        <v>334</v>
      </c>
      <c r="G21" s="76"/>
      <c r="H21" s="76"/>
      <c r="I21" s="7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7"/>
      <c r="Z21" s="77"/>
      <c r="AA21" s="77"/>
      <c r="AB21" s="77"/>
    </row>
    <row r="22" spans="1:28" ht="71.25" x14ac:dyDescent="0.25">
      <c r="A22" s="76" t="s">
        <v>344</v>
      </c>
      <c r="B22" s="76" t="s">
        <v>335</v>
      </c>
      <c r="C22" s="76" t="s">
        <v>336</v>
      </c>
      <c r="D22" s="76" t="s">
        <v>337</v>
      </c>
      <c r="E22" s="76" t="s">
        <v>338</v>
      </c>
      <c r="F22" s="76" t="s">
        <v>339</v>
      </c>
      <c r="G22" s="76"/>
      <c r="H22" s="76"/>
      <c r="I22" s="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7"/>
      <c r="Z22" s="77"/>
      <c r="AA22" s="77"/>
      <c r="AB22" s="77"/>
    </row>
    <row r="23" spans="1:28" ht="99.75" x14ac:dyDescent="0.25">
      <c r="A23" s="76" t="s">
        <v>345</v>
      </c>
      <c r="B23" s="76" t="s">
        <v>340</v>
      </c>
      <c r="C23" s="76" t="s">
        <v>322</v>
      </c>
      <c r="D23" s="76" t="s">
        <v>341</v>
      </c>
      <c r="E23" s="76" t="s">
        <v>302</v>
      </c>
      <c r="F23" s="76" t="s">
        <v>342</v>
      </c>
      <c r="G23" s="76"/>
      <c r="H23" s="76"/>
      <c r="I23" s="7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7"/>
      <c r="Z23" s="77"/>
      <c r="AA23" s="77"/>
      <c r="AB23" s="77"/>
    </row>
    <row r="24" spans="1:2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7"/>
      <c r="Z24" s="77"/>
      <c r="AA24" s="77"/>
      <c r="AB24" s="77"/>
    </row>
    <row r="25" spans="1:2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7"/>
      <c r="Z25" s="77"/>
      <c r="AA25" s="77"/>
      <c r="AB25" s="77"/>
    </row>
    <row r="26" spans="1:2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7"/>
      <c r="Z26" s="77"/>
      <c r="AA26" s="77"/>
      <c r="AB26" s="77"/>
    </row>
    <row r="27" spans="1:2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7"/>
      <c r="Z27" s="77"/>
      <c r="AA27" s="77"/>
      <c r="AB27" s="77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7"/>
      <c r="Z28" s="77"/>
      <c r="AA28" s="77"/>
      <c r="AB28" s="77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7"/>
      <c r="Z29" s="77"/>
      <c r="AA29" s="77"/>
      <c r="AB29" s="77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7"/>
      <c r="Z30" s="77"/>
      <c r="AA30" s="77"/>
      <c r="AB30" s="77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7"/>
      <c r="Z31" s="77"/>
      <c r="AA31" s="77"/>
      <c r="AB31" s="77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7"/>
      <c r="Z32" s="77"/>
      <c r="AA32" s="77"/>
      <c r="AB32" s="77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7"/>
      <c r="Z33" s="77"/>
      <c r="AA33" s="77"/>
      <c r="AB33" s="77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7"/>
      <c r="Z34" s="77"/>
      <c r="AA34" s="77"/>
      <c r="AB34" s="77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7"/>
      <c r="Z35" s="77"/>
      <c r="AA35" s="77"/>
      <c r="AB35" s="77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7"/>
      <c r="Z36" s="77"/>
      <c r="AA36" s="77"/>
      <c r="AB36" s="77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7"/>
      <c r="Z37" s="77"/>
      <c r="AA37" s="77"/>
      <c r="AB37" s="77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7"/>
      <c r="Z38" s="77"/>
      <c r="AA38" s="77"/>
      <c r="AB38" s="77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7"/>
      <c r="Z39" s="77"/>
      <c r="AA39" s="77"/>
      <c r="AB39" s="77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7"/>
      <c r="Z40" s="77"/>
      <c r="AA40" s="77"/>
      <c r="AB40" s="77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7"/>
      <c r="Z41" s="77"/>
      <c r="AA41" s="77"/>
      <c r="AB41" s="77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7"/>
      <c r="Z42" s="77"/>
      <c r="AA42" s="77"/>
      <c r="AB42" s="77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7"/>
      <c r="Z43" s="77"/>
      <c r="AA43" s="77"/>
      <c r="AB43" s="77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7"/>
      <c r="Z44" s="77"/>
      <c r="AA44" s="77"/>
      <c r="AB44" s="77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7"/>
      <c r="Z45" s="77"/>
      <c r="AA45" s="77"/>
      <c r="AB45" s="77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7"/>
      <c r="Z46" s="77"/>
      <c r="AA46" s="77"/>
      <c r="AB46" s="77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7"/>
      <c r="Z47" s="77"/>
      <c r="AA47" s="77"/>
      <c r="AB47" s="77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7"/>
      <c r="Z48" s="77"/>
      <c r="AA48" s="77"/>
      <c r="AB48" s="77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7"/>
      <c r="Z49" s="77"/>
      <c r="AA49" s="77"/>
      <c r="AB49" s="77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7"/>
      <c r="Z50" s="77"/>
      <c r="AA50" s="77"/>
      <c r="AB50" s="77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7"/>
      <c r="Z51" s="77"/>
      <c r="AA51" s="77"/>
      <c r="AB51" s="77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7"/>
      <c r="Z52" s="77"/>
      <c r="AA52" s="77"/>
      <c r="AB52" s="77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7"/>
      <c r="Z53" s="77"/>
      <c r="AA53" s="77"/>
      <c r="AB53" s="77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7"/>
      <c r="Z54" s="77"/>
      <c r="AA54" s="77"/>
      <c r="AB54" s="77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7"/>
      <c r="Z55" s="77"/>
      <c r="AA55" s="77"/>
      <c r="AB55" s="77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7"/>
      <c r="Z56" s="77"/>
      <c r="AA56" s="77"/>
      <c r="AB56" s="77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7"/>
      <c r="Z57" s="77"/>
      <c r="AA57" s="77"/>
      <c r="AB57" s="77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7"/>
      <c r="Z58" s="77"/>
      <c r="AA58" s="77"/>
      <c r="AB58" s="77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7"/>
      <c r="Z59" s="77"/>
      <c r="AA59" s="77"/>
      <c r="AB59" s="77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7"/>
      <c r="Z60" s="77"/>
      <c r="AA60" s="77"/>
      <c r="AB60" s="77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7"/>
      <c r="Z61" s="77"/>
      <c r="AA61" s="77"/>
      <c r="AB61" s="77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7"/>
      <c r="Z62" s="77"/>
      <c r="AA62" s="77"/>
      <c r="AB62" s="77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7"/>
      <c r="Z63" s="77"/>
      <c r="AA63" s="77"/>
      <c r="AB63" s="77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7"/>
      <c r="Z64" s="77"/>
      <c r="AA64" s="77"/>
      <c r="AB64" s="77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7"/>
      <c r="Z65" s="77"/>
      <c r="AA65" s="77"/>
      <c r="AB65" s="77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7"/>
      <c r="Z66" s="77"/>
      <c r="AA66" s="77"/>
      <c r="AB66" s="77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7"/>
      <c r="Z67" s="77"/>
      <c r="AA67" s="77"/>
      <c r="AB67" s="7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7"/>
      <c r="Z68" s="77"/>
      <c r="AA68" s="77"/>
      <c r="AB68" s="77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7"/>
      <c r="Z69" s="77"/>
      <c r="AA69" s="77"/>
      <c r="AB69" s="77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7"/>
      <c r="Z70" s="77"/>
      <c r="AA70" s="77"/>
      <c r="AB70" s="77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7"/>
      <c r="Z71" s="77"/>
      <c r="AA71" s="77"/>
      <c r="AB71" s="77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7"/>
      <c r="Z72" s="77"/>
      <c r="AA72" s="77"/>
      <c r="AB72" s="77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7"/>
      <c r="Z73" s="77"/>
      <c r="AA73" s="77"/>
      <c r="AB73" s="77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7"/>
      <c r="Z74" s="77"/>
      <c r="AA74" s="77"/>
      <c r="AB74" s="77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7"/>
      <c r="Z75" s="77"/>
      <c r="AA75" s="77"/>
      <c r="AB75" s="77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7"/>
      <c r="Z76" s="77"/>
      <c r="AA76" s="77"/>
      <c r="AB76" s="77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7"/>
      <c r="Z77" s="77"/>
      <c r="AA77" s="77"/>
      <c r="AB77" s="77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7"/>
      <c r="Z78" s="77"/>
      <c r="AA78" s="77"/>
      <c r="AB78" s="77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7"/>
      <c r="Z79" s="77"/>
      <c r="AA79" s="77"/>
      <c r="AB79" s="77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7"/>
      <c r="Z80" s="77"/>
      <c r="AA80" s="77"/>
      <c r="AB80" s="77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7"/>
      <c r="Z81" s="77"/>
      <c r="AA81" s="77"/>
      <c r="AB81" s="77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7"/>
      <c r="Z82" s="77"/>
      <c r="AA82" s="77"/>
      <c r="AB82" s="77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7"/>
      <c r="Z83" s="77"/>
      <c r="AA83" s="77"/>
      <c r="AB83" s="77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7"/>
      <c r="Z84" s="77"/>
      <c r="AA84" s="77"/>
      <c r="AB84" s="77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7"/>
      <c r="Z85" s="77"/>
      <c r="AA85" s="77"/>
      <c r="AB85" s="77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7"/>
      <c r="Z86" s="77"/>
      <c r="AA86" s="77"/>
      <c r="AB86" s="77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7"/>
      <c r="Z87" s="77"/>
      <c r="AA87" s="77"/>
      <c r="AB87" s="77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7"/>
      <c r="Z88" s="77"/>
      <c r="AA88" s="77"/>
      <c r="AB88" s="77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7"/>
      <c r="Z89" s="77"/>
      <c r="AA89" s="77"/>
      <c r="AB89" s="77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7"/>
      <c r="Z90" s="77"/>
      <c r="AA90" s="77"/>
      <c r="AB90" s="77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7"/>
      <c r="Z91" s="77"/>
      <c r="AA91" s="77"/>
      <c r="AB91" s="77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7"/>
      <c r="Z92" s="77"/>
      <c r="AA92" s="77"/>
      <c r="AB92" s="77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7"/>
      <c r="Z93" s="77"/>
      <c r="AA93" s="77"/>
      <c r="AB93" s="77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7"/>
      <c r="Z94" s="77"/>
      <c r="AA94" s="77"/>
      <c r="AB94" s="77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7"/>
      <c r="Z95" s="77"/>
      <c r="AA95" s="77"/>
      <c r="AB95" s="77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7"/>
      <c r="Z96" s="77"/>
      <c r="AA96" s="77"/>
      <c r="AB96" s="77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7"/>
      <c r="Z97" s="77"/>
      <c r="AA97" s="77"/>
      <c r="AB97" s="77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7"/>
      <c r="Z98" s="77"/>
      <c r="AA98" s="77"/>
      <c r="AB98" s="77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7"/>
      <c r="Z99" s="77"/>
      <c r="AA99" s="77"/>
      <c r="AB99" s="77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7"/>
      <c r="Z100" s="77"/>
      <c r="AA100" s="77"/>
      <c r="AB100" s="77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7"/>
      <c r="Z101" s="77"/>
      <c r="AA101" s="77"/>
      <c r="AB101" s="77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7"/>
      <c r="Z102" s="77"/>
      <c r="AA102" s="77"/>
      <c r="AB102" s="77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7"/>
      <c r="Z103" s="77"/>
      <c r="AA103" s="77"/>
      <c r="AB103" s="77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7"/>
      <c r="Z104" s="77"/>
      <c r="AA104" s="77"/>
      <c r="AB104" s="77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7"/>
      <c r="Z105" s="77"/>
      <c r="AA105" s="77"/>
      <c r="AB105" s="77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7"/>
      <c r="Z106" s="77"/>
      <c r="AA106" s="77"/>
      <c r="AB106" s="77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7"/>
      <c r="Z107" s="77"/>
      <c r="AA107" s="77"/>
      <c r="AB107" s="77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7"/>
      <c r="Z108" s="77"/>
      <c r="AA108" s="77"/>
      <c r="AB108" s="77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7"/>
      <c r="Z109" s="77"/>
      <c r="AA109" s="77"/>
      <c r="AB109" s="77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7"/>
      <c r="Z110" s="77"/>
      <c r="AA110" s="77"/>
      <c r="AB110" s="77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7"/>
      <c r="Z111" s="77"/>
      <c r="AA111" s="77"/>
      <c r="AB111" s="77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7"/>
      <c r="Z112" s="77"/>
      <c r="AA112" s="77"/>
      <c r="AB112" s="77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7"/>
      <c r="Z113" s="77"/>
      <c r="AA113" s="77"/>
      <c r="AB113" s="77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7"/>
      <c r="Z114" s="77"/>
      <c r="AA114" s="77"/>
      <c r="AB114" s="77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7"/>
      <c r="Z115" s="77"/>
      <c r="AA115" s="77"/>
      <c r="AB115" s="77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7"/>
      <c r="Z116" s="77"/>
      <c r="AA116" s="77"/>
      <c r="AB116" s="77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7"/>
      <c r="Z117" s="77"/>
      <c r="AA117" s="77"/>
      <c r="AB117" s="77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7"/>
      <c r="Z118" s="77"/>
      <c r="AA118" s="77"/>
      <c r="AB118" s="77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7"/>
      <c r="Z119" s="77"/>
      <c r="AA119" s="77"/>
      <c r="AB119" s="77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7"/>
      <c r="Z120" s="77"/>
      <c r="AA120" s="77"/>
      <c r="AB120" s="77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7"/>
      <c r="Z121" s="77"/>
      <c r="AA121" s="77"/>
      <c r="AB121" s="77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7"/>
      <c r="Z122" s="77"/>
      <c r="AA122" s="77"/>
      <c r="AB122" s="77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7"/>
      <c r="Z123" s="77"/>
      <c r="AA123" s="77"/>
      <c r="AB123" s="77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7"/>
      <c r="Z124" s="77"/>
      <c r="AA124" s="77"/>
      <c r="AB124" s="77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7"/>
      <c r="Z125" s="77"/>
      <c r="AA125" s="77"/>
      <c r="AB125" s="77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7"/>
      <c r="Z126" s="77"/>
      <c r="AA126" s="77"/>
      <c r="AB126" s="77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7"/>
      <c r="Z127" s="77"/>
      <c r="AA127" s="77"/>
      <c r="AB127" s="77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7"/>
      <c r="Z128" s="77"/>
      <c r="AA128" s="77"/>
      <c r="AB128" s="77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7"/>
      <c r="Z129" s="77"/>
      <c r="AA129" s="77"/>
      <c r="AB129" s="77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7"/>
      <c r="Z130" s="77"/>
      <c r="AA130" s="77"/>
      <c r="AB130" s="77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7"/>
      <c r="Z131" s="77"/>
      <c r="AA131" s="77"/>
      <c r="AB131" s="77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7"/>
      <c r="Z132" s="77"/>
      <c r="AA132" s="77"/>
      <c r="AB132" s="77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7"/>
      <c r="Z133" s="77"/>
      <c r="AA133" s="77"/>
      <c r="AB133" s="77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7"/>
      <c r="Z134" s="77"/>
      <c r="AA134" s="77"/>
      <c r="AB134" s="77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7"/>
      <c r="Z135" s="77"/>
      <c r="AA135" s="77"/>
      <c r="AB135" s="77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7"/>
      <c r="Z136" s="77"/>
      <c r="AA136" s="77"/>
      <c r="AB136" s="77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7"/>
      <c r="Z137" s="77"/>
      <c r="AA137" s="77"/>
      <c r="AB137" s="77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7"/>
      <c r="Z138" s="77"/>
      <c r="AA138" s="77"/>
      <c r="AB138" s="77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7"/>
      <c r="Z139" s="77"/>
      <c r="AA139" s="77"/>
      <c r="AB139" s="77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7"/>
      <c r="Z140" s="77"/>
      <c r="AA140" s="77"/>
      <c r="AB140" s="77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7"/>
      <c r="Z141" s="77"/>
      <c r="AA141" s="77"/>
      <c r="AB141" s="77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7"/>
      <c r="Z142" s="77"/>
      <c r="AA142" s="77"/>
      <c r="AB142" s="77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7"/>
      <c r="Z143" s="77"/>
      <c r="AA143" s="77"/>
      <c r="AB143" s="77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7"/>
      <c r="Z144" s="77"/>
      <c r="AA144" s="77"/>
      <c r="AB144" s="77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7"/>
      <c r="Z145" s="77"/>
      <c r="AA145" s="77"/>
      <c r="AB145" s="77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7"/>
      <c r="Z146" s="77"/>
      <c r="AA146" s="77"/>
      <c r="AB146" s="77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7"/>
      <c r="Z147" s="77"/>
      <c r="AA147" s="77"/>
      <c r="AB147" s="77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7"/>
      <c r="Z148" s="77"/>
      <c r="AA148" s="77"/>
      <c r="AB148" s="77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7"/>
      <c r="Z149" s="77"/>
      <c r="AA149" s="77"/>
      <c r="AB149" s="77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7"/>
      <c r="Z150" s="77"/>
      <c r="AA150" s="77"/>
      <c r="AB150" s="77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7"/>
      <c r="Z151" s="77"/>
      <c r="AA151" s="77"/>
      <c r="AB151" s="77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7"/>
      <c r="Z152" s="77"/>
      <c r="AA152" s="77"/>
      <c r="AB152" s="77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7"/>
      <c r="Z153" s="77"/>
      <c r="AA153" s="77"/>
      <c r="AB153" s="77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7"/>
      <c r="Z154" s="77"/>
      <c r="AA154" s="77"/>
      <c r="AB154" s="77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7"/>
      <c r="Z155" s="77"/>
      <c r="AA155" s="77"/>
      <c r="AB155" s="77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7"/>
      <c r="Z156" s="77"/>
      <c r="AA156" s="77"/>
      <c r="AB156" s="77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7"/>
      <c r="Z157" s="77"/>
      <c r="AA157" s="77"/>
      <c r="AB157" s="77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7"/>
      <c r="Z158" s="77"/>
      <c r="AA158" s="77"/>
      <c r="AB158" s="77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7"/>
      <c r="Z159" s="77"/>
      <c r="AA159" s="77"/>
      <c r="AB159" s="77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7"/>
      <c r="Z160" s="77"/>
      <c r="AA160" s="77"/>
      <c r="AB160" s="77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7"/>
      <c r="Z161" s="77"/>
      <c r="AA161" s="77"/>
      <c r="AB161" s="77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7"/>
      <c r="Z162" s="77"/>
      <c r="AA162" s="77"/>
      <c r="AB162" s="77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7"/>
      <c r="Z163" s="77"/>
      <c r="AA163" s="77"/>
      <c r="AB163" s="77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7"/>
      <c r="Z164" s="77"/>
      <c r="AA164" s="77"/>
      <c r="AB164" s="77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7"/>
      <c r="Z165" s="77"/>
      <c r="AA165" s="77"/>
      <c r="AB165" s="77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7"/>
      <c r="Z166" s="77"/>
      <c r="AA166" s="77"/>
      <c r="AB166" s="77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7"/>
      <c r="Z167" s="77"/>
      <c r="AA167" s="77"/>
      <c r="AB167" s="77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7"/>
      <c r="Z168" s="77"/>
      <c r="AA168" s="77"/>
      <c r="AB168" s="77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7"/>
      <c r="Z169" s="77"/>
      <c r="AA169" s="77"/>
      <c r="AB169" s="77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7"/>
      <c r="Z170" s="77"/>
      <c r="AA170" s="77"/>
      <c r="AB170" s="77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7"/>
      <c r="Z171" s="77"/>
      <c r="AA171" s="77"/>
      <c r="AB171" s="77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7"/>
      <c r="Z172" s="77"/>
      <c r="AA172" s="77"/>
      <c r="AB172" s="77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7"/>
      <c r="Z173" s="77"/>
      <c r="AA173" s="77"/>
      <c r="AB173" s="77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7"/>
      <c r="Z174" s="77"/>
      <c r="AA174" s="77"/>
      <c r="AB174" s="77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7"/>
      <c r="Z175" s="77"/>
      <c r="AA175" s="77"/>
      <c r="AB175" s="77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7"/>
      <c r="Z176" s="77"/>
      <c r="AA176" s="77"/>
      <c r="AB176" s="77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7"/>
      <c r="Z177" s="77"/>
      <c r="AA177" s="77"/>
      <c r="AB177" s="77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7"/>
      <c r="Z178" s="77"/>
      <c r="AA178" s="77"/>
      <c r="AB178" s="77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7"/>
      <c r="Z179" s="77"/>
      <c r="AA179" s="77"/>
      <c r="AB179" s="77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x14ac:dyDescent="0.25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 spans="1:28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 spans="1:28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 spans="1:28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 spans="1:28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 spans="1:28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 spans="1:28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 spans="1:28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 spans="1:28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 spans="1:28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 spans="1:28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 spans="1:28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 spans="1:28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 spans="1:28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 spans="1:28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 spans="1:28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 spans="1:28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 spans="1:28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 spans="1:28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 spans="1:28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 spans="1:28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 spans="1:28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 spans="1:28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 spans="1:28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 spans="1:28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 spans="1:28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 spans="1:28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 spans="1:28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 spans="1:28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 spans="1:28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 spans="1:28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 spans="1:28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 spans="1:28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 spans="1:28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 spans="1:28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 spans="1:28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 spans="1:28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 spans="1:28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 spans="1:28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 spans="1:28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 spans="1:28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 spans="1:28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 spans="1:28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 spans="1:28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 spans="1:28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 spans="1:28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 spans="1:28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 spans="1:28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 spans="1:28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 spans="1:28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 spans="1:28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 spans="1:28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 spans="1:28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 spans="1:28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 spans="1:28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 spans="1:28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 spans="1:28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 spans="1:28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 spans="1:28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 spans="1:28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 spans="1:28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 spans="1:28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 spans="1:28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 spans="1:28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 spans="1:28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 spans="1:28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 spans="1:28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 spans="1:28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 spans="1:28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 spans="1:28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 spans="1:28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 spans="1:28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 spans="1:28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 spans="1:28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 spans="1:28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 spans="1:28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 spans="1:28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 spans="1:28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 spans="1:28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 spans="1:28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 spans="1:28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 spans="1:28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 spans="1:28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 spans="1:28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 spans="1:28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 spans="1:28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 spans="1:28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 spans="1:28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 spans="1:28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 spans="1:28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 spans="1:28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 spans="1:28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 spans="1:28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 spans="1:28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 spans="1:28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 spans="1:28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 spans="1:28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 spans="1:28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 spans="1:28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 spans="1:28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 spans="1:28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 spans="1:28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 spans="1:28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 spans="1:28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 spans="1:28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 spans="1:28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 spans="1:28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 spans="1:28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 spans="1:28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 spans="1:28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 spans="1:28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 spans="1:28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 spans="1:28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 spans="1:28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 spans="1:28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 spans="1:28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 spans="1:28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 spans="1:28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 spans="1:28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 spans="1:28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 spans="1:28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 spans="1:28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 spans="1:28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 spans="1:28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 spans="1:28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 spans="1:28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 spans="1:28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 spans="1:28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 spans="1:28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 spans="1:28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 spans="1:28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 spans="1:28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 spans="1:28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 spans="1:28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 spans="1:28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 spans="1:28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 spans="1:28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 spans="1:28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 spans="1:28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 spans="1:28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 spans="1:28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 spans="1:28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 spans="1:28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 spans="1:28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 spans="1:28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 spans="1:28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 spans="1:28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 spans="1:28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 spans="1:28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 spans="1:28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 spans="1:28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 spans="1:28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 spans="1:28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 spans="1:28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 spans="1:28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 spans="1:28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 spans="1:28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 spans="1:28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</row>
    <row r="956" spans="1:28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</row>
    <row r="957" spans="1:28" x14ac:dyDescent="0.25">
      <c r="A957" s="77"/>
      <c r="B957" s="77"/>
      <c r="C957" s="77"/>
      <c r="D957" s="77"/>
      <c r="E957" s="77"/>
      <c r="F957" s="77"/>
      <c r="G957" s="77"/>
      <c r="H957" s="77"/>
      <c r="I957" s="77"/>
    </row>
    <row r="958" spans="1:28" x14ac:dyDescent="0.25">
      <c r="A958" s="77"/>
      <c r="B958" s="77"/>
      <c r="C958" s="77"/>
      <c r="D958" s="77"/>
      <c r="E958" s="77"/>
      <c r="F958" s="77"/>
      <c r="G958" s="77"/>
      <c r="H958" s="77"/>
      <c r="I958" s="77"/>
    </row>
    <row r="959" spans="1:28" x14ac:dyDescent="0.25">
      <c r="A959" s="77"/>
      <c r="B959" s="77"/>
      <c r="C959" s="77"/>
      <c r="D959" s="77"/>
      <c r="E959" s="77"/>
      <c r="F959" s="77"/>
      <c r="G959" s="77"/>
      <c r="H959" s="77"/>
      <c r="I959" s="77"/>
    </row>
    <row r="960" spans="1:28" x14ac:dyDescent="0.25">
      <c r="A960" s="77"/>
      <c r="B960" s="77"/>
      <c r="C960" s="77"/>
      <c r="D960" s="77"/>
      <c r="E960" s="77"/>
      <c r="F960" s="77"/>
      <c r="G960" s="77"/>
      <c r="H960" s="77"/>
      <c r="I960" s="77"/>
    </row>
    <row r="961" spans="1:9" x14ac:dyDescent="0.25">
      <c r="A961" s="77"/>
      <c r="B961" s="77"/>
      <c r="C961" s="77"/>
      <c r="D961" s="77"/>
      <c r="E961" s="77"/>
      <c r="F961" s="77"/>
      <c r="G961" s="77"/>
      <c r="H961" s="77"/>
      <c r="I961" s="77"/>
    </row>
    <row r="962" spans="1:9" x14ac:dyDescent="0.25">
      <c r="A962" s="77"/>
      <c r="B962" s="77"/>
      <c r="C962" s="77"/>
      <c r="D962" s="77"/>
      <c r="E962" s="77"/>
      <c r="F962" s="77"/>
      <c r="G962" s="77"/>
      <c r="H962" s="77"/>
      <c r="I962" s="77"/>
    </row>
    <row r="963" spans="1:9" x14ac:dyDescent="0.25">
      <c r="A963" s="77"/>
      <c r="B963" s="77"/>
      <c r="C963" s="77"/>
      <c r="D963" s="77"/>
      <c r="E963" s="77"/>
      <c r="F963" s="77"/>
      <c r="G963" s="77"/>
      <c r="H963" s="77"/>
      <c r="I963" s="77"/>
    </row>
    <row r="964" spans="1:9" x14ac:dyDescent="0.25">
      <c r="A964" s="77"/>
      <c r="B964" s="77"/>
      <c r="C964" s="77"/>
      <c r="D964" s="77"/>
      <c r="E964" s="77"/>
      <c r="F964" s="77"/>
      <c r="G964" s="77"/>
      <c r="H964" s="77"/>
      <c r="I964" s="77"/>
    </row>
    <row r="965" spans="1:9" x14ac:dyDescent="0.25">
      <c r="A965" s="77"/>
      <c r="B965" s="77"/>
      <c r="C965" s="77"/>
      <c r="D965" s="77"/>
      <c r="E965" s="77"/>
      <c r="F965" s="77"/>
      <c r="G965" s="77"/>
      <c r="H965" s="77"/>
      <c r="I965" s="77"/>
    </row>
    <row r="966" spans="1:9" x14ac:dyDescent="0.25">
      <c r="A966" s="77"/>
      <c r="B966" s="77"/>
      <c r="C966" s="77"/>
      <c r="D966" s="77"/>
      <c r="E966" s="77"/>
      <c r="F966" s="77"/>
      <c r="G966" s="77"/>
      <c r="H966" s="77"/>
      <c r="I966" s="77"/>
    </row>
    <row r="967" spans="1:9" x14ac:dyDescent="0.25">
      <c r="A967" s="77"/>
      <c r="B967" s="77"/>
      <c r="C967" s="77"/>
      <c r="D967" s="77"/>
      <c r="E967" s="77"/>
      <c r="F967" s="77"/>
      <c r="G967" s="77"/>
      <c r="H967" s="77"/>
      <c r="I967" s="77"/>
    </row>
  </sheetData>
  <mergeCells count="1">
    <mergeCell ref="B2:I2"/>
  </mergeCells>
  <phoneticPr fontId="18" type="noConversion"/>
  <dataValidations count="1">
    <dataValidation type="list" allowBlank="1" showInputMessage="1" showErrorMessage="1" sqref="H11:H23" xr:uid="{8F1D6284-258F-46A3-8719-BDFA737BB37E}">
      <formula1>"'Pass,'Fail,'Untest,'N/A"</formula1>
    </dataValidation>
  </dataValidations>
  <hyperlinks>
    <hyperlink ref="B4" location="null!A1" display="Back to TestReport" xr:uid="{B333B97A-D224-41B3-9A15-24F1D673D43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C8B7-F922-4196-AFCE-168FE5C2B967}">
  <dimension ref="A1:AB968"/>
  <sheetViews>
    <sheetView topLeftCell="A6" zoomScaleNormal="100" workbookViewId="0">
      <selection activeCell="F10" sqref="F10"/>
    </sheetView>
  </sheetViews>
  <sheetFormatPr defaultColWidth="14.42578125" defaultRowHeight="15" x14ac:dyDescent="0.25"/>
  <cols>
    <col min="1" max="1" width="17" customWidth="1"/>
    <col min="2" max="2" width="27.28515625" bestFit="1" customWidth="1"/>
    <col min="3" max="3" width="26" customWidth="1"/>
    <col min="4" max="4" width="23.140625" customWidth="1"/>
    <col min="5" max="5" width="24.28515625" customWidth="1"/>
    <col min="6" max="6" width="38.28515625" customWidth="1"/>
    <col min="7" max="7" width="11.28515625" customWidth="1"/>
    <col min="8" max="8" width="18" bestFit="1" customWidth="1"/>
    <col min="9" max="9" width="11.140625" customWidth="1"/>
    <col min="10" max="17" width="10.28515625" customWidth="1"/>
    <col min="18" max="24" width="9.140625" customWidth="1"/>
    <col min="25" max="28" width="17.28515625" customWidth="1"/>
  </cols>
  <sheetData>
    <row r="1" spans="1:28" s="49" customFormat="1" x14ac:dyDescent="0.25"/>
    <row r="2" spans="1:28" s="49" customFormat="1" ht="25.5" customHeight="1" x14ac:dyDescent="0.4">
      <c r="A2" s="51"/>
      <c r="B2" s="130" t="s">
        <v>283</v>
      </c>
      <c r="C2" s="130"/>
      <c r="D2" s="130"/>
      <c r="E2" s="130"/>
      <c r="F2" s="130"/>
      <c r="G2" s="130"/>
      <c r="H2" s="130"/>
      <c r="I2" s="130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8" ht="15.75" thickBot="1" x14ac:dyDescent="0.3">
      <c r="A3" s="52"/>
      <c r="B3" s="53"/>
      <c r="C3" s="53"/>
      <c r="D3" s="53"/>
      <c r="E3" s="53"/>
      <c r="F3" s="53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77"/>
      <c r="Z3" s="77"/>
      <c r="AA3" s="77"/>
    </row>
    <row r="4" spans="1:28" x14ac:dyDescent="0.25">
      <c r="A4" s="54"/>
      <c r="B4" s="55" t="s">
        <v>24</v>
      </c>
      <c r="C4" s="55" t="str">
        <f>HYPERLINK("#'Test case List'!A1","Test case List")</f>
        <v>Test case List</v>
      </c>
      <c r="D4" s="54"/>
      <c r="E4" s="54"/>
      <c r="F4" s="54"/>
      <c r="G4" s="56" t="s">
        <v>25</v>
      </c>
      <c r="H4" s="57">
        <f>COUNTIF($A$11:$A$834, "VALIDATION*")</f>
        <v>17</v>
      </c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7"/>
      <c r="Z4" s="37"/>
      <c r="AA4" s="37"/>
      <c r="AB4" s="37"/>
    </row>
    <row r="5" spans="1:28" x14ac:dyDescent="0.25">
      <c r="A5" s="54"/>
      <c r="B5" s="58" t="s">
        <v>26</v>
      </c>
      <c r="C5" s="59" t="s">
        <v>115</v>
      </c>
      <c r="D5" s="54"/>
      <c r="E5" s="54"/>
      <c r="F5" s="54"/>
      <c r="G5" s="60" t="s">
        <v>27</v>
      </c>
      <c r="H5" s="61">
        <f>(COUNTIF(H11:H20,"Pass"))</f>
        <v>0</v>
      </c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7"/>
      <c r="Z5" s="37"/>
      <c r="AA5" s="37"/>
      <c r="AB5" s="37"/>
    </row>
    <row r="6" spans="1:28" ht="15.75" thickBot="1" x14ac:dyDescent="0.3">
      <c r="A6" s="54"/>
      <c r="B6" s="62" t="s">
        <v>28</v>
      </c>
      <c r="C6" s="63"/>
      <c r="D6" s="54"/>
      <c r="E6" s="54"/>
      <c r="F6" s="54"/>
      <c r="G6" s="60" t="s">
        <v>29</v>
      </c>
      <c r="H6" s="61">
        <f>(COUNTIF(H11:H20,"Fail"))</f>
        <v>0</v>
      </c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7"/>
      <c r="Z6" s="37"/>
      <c r="AA6" s="37"/>
      <c r="AB6" s="37"/>
    </row>
    <row r="7" spans="1:28" ht="15.75" thickBot="1" x14ac:dyDescent="0.3">
      <c r="A7" s="54"/>
      <c r="B7" s="64"/>
      <c r="C7" s="64"/>
      <c r="D7" s="54"/>
      <c r="E7" s="54"/>
      <c r="F7" s="54"/>
      <c r="G7" s="60" t="s">
        <v>30</v>
      </c>
      <c r="H7" s="61">
        <f>(COUNTIF(H11:H20,"Untest"))</f>
        <v>0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37"/>
      <c r="Z7" s="37"/>
      <c r="AA7" s="37"/>
      <c r="AB7" s="37"/>
    </row>
    <row r="8" spans="1:28" ht="15.75" thickBot="1" x14ac:dyDescent="0.3">
      <c r="A8" s="64"/>
      <c r="B8" s="65" t="s">
        <v>31</v>
      </c>
      <c r="C8" s="66" t="str">
        <f>ROUND((H5 / (H4-H8))*100,2)&amp;"%"</f>
        <v>0%</v>
      </c>
      <c r="D8" s="54"/>
      <c r="E8" s="54"/>
      <c r="F8" s="54"/>
      <c r="G8" s="67" t="s">
        <v>32</v>
      </c>
      <c r="H8" s="68">
        <f>(COUNTIF(H11:H20,"N/A"))</f>
        <v>0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37"/>
      <c r="Z8" s="37"/>
      <c r="AA8" s="37"/>
      <c r="AB8" s="37"/>
    </row>
    <row r="9" spans="1:28" x14ac:dyDescent="0.25">
      <c r="A9" s="69"/>
      <c r="B9" s="69"/>
      <c r="C9" s="69"/>
      <c r="D9" s="70"/>
      <c r="E9" s="70"/>
      <c r="F9" s="71"/>
      <c r="G9" s="71"/>
      <c r="H9" s="71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7"/>
      <c r="Z9" s="77"/>
      <c r="AA9" s="77"/>
      <c r="AB9" s="77"/>
    </row>
    <row r="10" spans="1:28" x14ac:dyDescent="0.25">
      <c r="A10" s="72" t="s">
        <v>33</v>
      </c>
      <c r="B10" s="72" t="s">
        <v>34</v>
      </c>
      <c r="C10" s="73" t="s">
        <v>8</v>
      </c>
      <c r="D10" s="72" t="s">
        <v>35</v>
      </c>
      <c r="E10" s="73" t="s">
        <v>36</v>
      </c>
      <c r="F10" s="72" t="s">
        <v>37</v>
      </c>
      <c r="G10" s="74" t="s">
        <v>38</v>
      </c>
      <c r="H10" s="75" t="s">
        <v>39</v>
      </c>
      <c r="I10" s="73" t="s">
        <v>40</v>
      </c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7"/>
      <c r="AB10" s="77"/>
    </row>
    <row r="11" spans="1:28" ht="57" x14ac:dyDescent="0.25">
      <c r="A11" s="76" t="s">
        <v>80</v>
      </c>
      <c r="B11" s="76" t="s">
        <v>346</v>
      </c>
      <c r="C11" s="76" t="s">
        <v>347</v>
      </c>
      <c r="D11" s="76" t="s">
        <v>348</v>
      </c>
      <c r="E11" s="76" t="s">
        <v>349</v>
      </c>
      <c r="F11" s="76" t="s">
        <v>350</v>
      </c>
      <c r="G11" s="76"/>
      <c r="H11" s="76"/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77"/>
      <c r="AB11" s="77"/>
    </row>
    <row r="12" spans="1:28" ht="57" x14ac:dyDescent="0.25">
      <c r="A12" s="76" t="s">
        <v>81</v>
      </c>
      <c r="B12" s="76" t="s">
        <v>197</v>
      </c>
      <c r="C12" s="76" t="s">
        <v>351</v>
      </c>
      <c r="D12" s="76" t="s">
        <v>352</v>
      </c>
      <c r="E12" s="76" t="s">
        <v>353</v>
      </c>
      <c r="F12" s="76" t="s">
        <v>354</v>
      </c>
      <c r="G12" s="76"/>
      <c r="H12" s="76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7"/>
      <c r="Z12" s="77"/>
      <c r="AA12" s="77"/>
      <c r="AB12" s="77"/>
    </row>
    <row r="13" spans="1:28" ht="57" x14ac:dyDescent="0.25">
      <c r="A13" s="76" t="s">
        <v>82</v>
      </c>
      <c r="B13" s="76" t="s">
        <v>355</v>
      </c>
      <c r="C13" s="76" t="s">
        <v>356</v>
      </c>
      <c r="D13" s="76" t="s">
        <v>357</v>
      </c>
      <c r="E13" s="76" t="s">
        <v>358</v>
      </c>
      <c r="F13" s="76" t="s">
        <v>359</v>
      </c>
      <c r="G13" s="76"/>
      <c r="H13" s="76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77"/>
      <c r="Z13" s="77"/>
      <c r="AA13" s="77"/>
      <c r="AB13" s="77"/>
    </row>
    <row r="14" spans="1:28" ht="57" x14ac:dyDescent="0.25">
      <c r="A14" s="76" t="s">
        <v>83</v>
      </c>
      <c r="B14" s="76" t="s">
        <v>360</v>
      </c>
      <c r="C14" s="76" t="s">
        <v>361</v>
      </c>
      <c r="D14" s="76" t="s">
        <v>362</v>
      </c>
      <c r="E14" s="76" t="s">
        <v>363</v>
      </c>
      <c r="F14" s="76" t="s">
        <v>364</v>
      </c>
      <c r="G14" s="76"/>
      <c r="H14" s="76"/>
      <c r="I14" s="7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77"/>
      <c r="Z14" s="77"/>
      <c r="AA14" s="77"/>
      <c r="AB14" s="77"/>
    </row>
    <row r="15" spans="1:28" ht="57" x14ac:dyDescent="0.25">
      <c r="A15" s="76" t="s">
        <v>84</v>
      </c>
      <c r="B15" s="76" t="s">
        <v>365</v>
      </c>
      <c r="C15" s="76" t="s">
        <v>366</v>
      </c>
      <c r="D15" s="76" t="s">
        <v>367</v>
      </c>
      <c r="E15" s="76" t="s">
        <v>368</v>
      </c>
      <c r="F15" s="76" t="s">
        <v>369</v>
      </c>
      <c r="G15" s="76"/>
      <c r="H15" s="76"/>
      <c r="I15" s="7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77"/>
      <c r="AB15" s="77"/>
    </row>
    <row r="16" spans="1:28" ht="57" x14ac:dyDescent="0.25">
      <c r="A16" s="76" t="s">
        <v>85</v>
      </c>
      <c r="B16" s="76" t="s">
        <v>370</v>
      </c>
      <c r="C16" s="76" t="s">
        <v>371</v>
      </c>
      <c r="D16" s="76" t="s">
        <v>372</v>
      </c>
      <c r="E16" s="76" t="s">
        <v>373</v>
      </c>
      <c r="F16" s="76" t="s">
        <v>374</v>
      </c>
      <c r="G16" s="76"/>
      <c r="H16" s="76"/>
      <c r="I16" s="7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77"/>
      <c r="Z16" s="77"/>
      <c r="AA16" s="77"/>
      <c r="AB16" s="77"/>
    </row>
    <row r="17" spans="1:28" ht="42.75" x14ac:dyDescent="0.25">
      <c r="A17" s="76" t="s">
        <v>86</v>
      </c>
      <c r="B17" s="76" t="s">
        <v>375</v>
      </c>
      <c r="C17" s="76" t="s">
        <v>376</v>
      </c>
      <c r="D17" s="76" t="s">
        <v>377</v>
      </c>
      <c r="E17" s="76" t="s">
        <v>378</v>
      </c>
      <c r="F17" s="76" t="s">
        <v>379</v>
      </c>
      <c r="G17" s="76"/>
      <c r="H17" s="76"/>
      <c r="I17" s="7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77"/>
      <c r="Z17" s="77"/>
      <c r="AA17" s="77"/>
      <c r="AB17" s="77"/>
    </row>
    <row r="18" spans="1:28" ht="57" x14ac:dyDescent="0.25">
      <c r="A18" s="76" t="s">
        <v>87</v>
      </c>
      <c r="B18" s="76" t="s">
        <v>380</v>
      </c>
      <c r="C18" s="76" t="s">
        <v>381</v>
      </c>
      <c r="D18" s="76" t="s">
        <v>382</v>
      </c>
      <c r="E18" s="76" t="s">
        <v>383</v>
      </c>
      <c r="F18" s="76" t="s">
        <v>384</v>
      </c>
      <c r="G18" s="76"/>
      <c r="H18" s="76"/>
      <c r="I18" s="7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77"/>
      <c r="Z18" s="77"/>
      <c r="AA18" s="77"/>
      <c r="AB18" s="77"/>
    </row>
    <row r="19" spans="1:28" ht="71.25" x14ac:dyDescent="0.25">
      <c r="A19" s="76" t="s">
        <v>88</v>
      </c>
      <c r="B19" s="76" t="s">
        <v>385</v>
      </c>
      <c r="C19" s="76" t="s">
        <v>386</v>
      </c>
      <c r="D19" s="76" t="s">
        <v>387</v>
      </c>
      <c r="E19" s="76" t="s">
        <v>388</v>
      </c>
      <c r="F19" s="76" t="s">
        <v>389</v>
      </c>
      <c r="G19" s="76"/>
      <c r="H19" s="76"/>
      <c r="I19" s="7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77"/>
      <c r="Z19" s="77"/>
      <c r="AA19" s="77"/>
      <c r="AB19" s="77"/>
    </row>
    <row r="20" spans="1:28" ht="57" x14ac:dyDescent="0.25">
      <c r="A20" s="76" t="s">
        <v>89</v>
      </c>
      <c r="B20" s="76" t="s">
        <v>390</v>
      </c>
      <c r="C20" s="76" t="s">
        <v>361</v>
      </c>
      <c r="D20" s="76" t="s">
        <v>391</v>
      </c>
      <c r="E20" s="76" t="s">
        <v>392</v>
      </c>
      <c r="F20" s="76" t="s">
        <v>393</v>
      </c>
      <c r="G20" s="76"/>
      <c r="H20" s="76"/>
      <c r="I20" s="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77"/>
      <c r="Z20" s="77"/>
      <c r="AA20" s="77"/>
      <c r="AB20" s="77"/>
    </row>
    <row r="21" spans="1:28" ht="42.75" x14ac:dyDescent="0.25">
      <c r="A21" s="76" t="s">
        <v>426</v>
      </c>
      <c r="B21" s="76" t="s">
        <v>394</v>
      </c>
      <c r="C21" s="76" t="s">
        <v>361</v>
      </c>
      <c r="D21" s="76" t="s">
        <v>395</v>
      </c>
      <c r="E21" s="76" t="s">
        <v>396</v>
      </c>
      <c r="F21" s="76" t="s">
        <v>397</v>
      </c>
      <c r="G21" s="76"/>
      <c r="H21" s="76"/>
      <c r="I21" s="7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77"/>
      <c r="Z21" s="77"/>
      <c r="AA21" s="77"/>
      <c r="AB21" s="77"/>
    </row>
    <row r="22" spans="1:28" ht="71.25" x14ac:dyDescent="0.25">
      <c r="A22" s="76" t="s">
        <v>427</v>
      </c>
      <c r="B22" s="76" t="s">
        <v>398</v>
      </c>
      <c r="C22" s="76" t="s">
        <v>361</v>
      </c>
      <c r="D22" s="76" t="s">
        <v>399</v>
      </c>
      <c r="E22" s="76" t="s">
        <v>400</v>
      </c>
      <c r="F22" s="76" t="s">
        <v>401</v>
      </c>
      <c r="G22" s="76"/>
      <c r="H22" s="76"/>
      <c r="I22" s="7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77"/>
      <c r="Z22" s="77"/>
      <c r="AA22" s="77"/>
      <c r="AB22" s="77"/>
    </row>
    <row r="23" spans="1:28" ht="85.5" x14ac:dyDescent="0.25">
      <c r="A23" s="76" t="s">
        <v>428</v>
      </c>
      <c r="B23" s="76" t="s">
        <v>402</v>
      </c>
      <c r="C23" s="76" t="s">
        <v>403</v>
      </c>
      <c r="D23" s="76" t="s">
        <v>404</v>
      </c>
      <c r="E23" s="76" t="s">
        <v>405</v>
      </c>
      <c r="F23" s="76" t="s">
        <v>406</v>
      </c>
      <c r="G23" s="76"/>
      <c r="H23" s="76"/>
      <c r="I23" s="7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77"/>
      <c r="Z23" s="77"/>
      <c r="AA23" s="77"/>
      <c r="AB23" s="77"/>
    </row>
    <row r="24" spans="1:28" ht="57" x14ac:dyDescent="0.25">
      <c r="A24" s="76" t="s">
        <v>429</v>
      </c>
      <c r="B24" s="76" t="s">
        <v>407</v>
      </c>
      <c r="C24" s="76" t="s">
        <v>408</v>
      </c>
      <c r="D24" s="76" t="s">
        <v>409</v>
      </c>
      <c r="E24" s="76" t="s">
        <v>410</v>
      </c>
      <c r="F24" s="76" t="s">
        <v>411</v>
      </c>
      <c r="G24" s="76"/>
      <c r="H24" s="76"/>
      <c r="I24" s="7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77"/>
      <c r="Z24" s="77"/>
      <c r="AA24" s="77"/>
      <c r="AB24" s="77"/>
    </row>
    <row r="25" spans="1:28" ht="71.25" x14ac:dyDescent="0.25">
      <c r="A25" s="76" t="s">
        <v>430</v>
      </c>
      <c r="B25" s="76" t="s">
        <v>412</v>
      </c>
      <c r="C25" s="76" t="s">
        <v>361</v>
      </c>
      <c r="D25" s="76" t="s">
        <v>413</v>
      </c>
      <c r="E25" s="76" t="s">
        <v>414</v>
      </c>
      <c r="F25" s="76" t="s">
        <v>415</v>
      </c>
      <c r="G25" s="76"/>
      <c r="H25" s="76"/>
      <c r="I25" s="7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7"/>
      <c r="Z25" s="77"/>
      <c r="AA25" s="77"/>
      <c r="AB25" s="77"/>
    </row>
    <row r="26" spans="1:28" ht="57" x14ac:dyDescent="0.25">
      <c r="A26" s="76" t="s">
        <v>431</v>
      </c>
      <c r="B26" s="76" t="s">
        <v>416</v>
      </c>
      <c r="C26" s="76" t="s">
        <v>417</v>
      </c>
      <c r="D26" s="76" t="s">
        <v>418</v>
      </c>
      <c r="E26" s="76" t="s">
        <v>419</v>
      </c>
      <c r="F26" s="76" t="s">
        <v>420</v>
      </c>
      <c r="G26" s="76"/>
      <c r="H26" s="76"/>
      <c r="I26" s="7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77"/>
      <c r="Z26" s="77"/>
      <c r="AA26" s="77"/>
      <c r="AB26" s="77"/>
    </row>
    <row r="27" spans="1:28" ht="57" x14ac:dyDescent="0.25">
      <c r="A27" s="76" t="s">
        <v>432</v>
      </c>
      <c r="B27" s="76" t="s">
        <v>421</v>
      </c>
      <c r="C27" s="76" t="s">
        <v>422</v>
      </c>
      <c r="D27" s="76" t="s">
        <v>423</v>
      </c>
      <c r="E27" s="76" t="s">
        <v>424</v>
      </c>
      <c r="F27" s="76" t="s">
        <v>425</v>
      </c>
      <c r="G27" s="76"/>
      <c r="H27" s="76"/>
      <c r="I27" s="7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77"/>
      <c r="Z27" s="77"/>
      <c r="AA27" s="77"/>
      <c r="AB27" s="77"/>
    </row>
    <row r="28" spans="1:2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77"/>
      <c r="Z28" s="77"/>
      <c r="AA28" s="77"/>
      <c r="AB28" s="77"/>
    </row>
    <row r="29" spans="1:2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77"/>
      <c r="Z29" s="77"/>
      <c r="AA29" s="77"/>
      <c r="AB29" s="77"/>
    </row>
    <row r="30" spans="1:2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77"/>
      <c r="Z30" s="77"/>
      <c r="AA30" s="77"/>
      <c r="AB30" s="77"/>
    </row>
    <row r="31" spans="1:2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77"/>
      <c r="Z31" s="77"/>
      <c r="AA31" s="77"/>
      <c r="AB31" s="77"/>
    </row>
    <row r="32" spans="1:2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77"/>
      <c r="Z32" s="77"/>
      <c r="AA32" s="77"/>
      <c r="AB32" s="77"/>
    </row>
    <row r="33" spans="1:2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77"/>
      <c r="Z33" s="77"/>
      <c r="AA33" s="77"/>
      <c r="AB33" s="77"/>
    </row>
    <row r="34" spans="1:2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77"/>
      <c r="Z34" s="77"/>
      <c r="AA34" s="77"/>
      <c r="AB34" s="77"/>
    </row>
    <row r="35" spans="1:2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77"/>
      <c r="Z35" s="77"/>
      <c r="AA35" s="77"/>
      <c r="AB35" s="77"/>
    </row>
    <row r="36" spans="1:2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77"/>
      <c r="Z36" s="77"/>
      <c r="AA36" s="77"/>
      <c r="AB36" s="77"/>
    </row>
    <row r="37" spans="1:2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77"/>
      <c r="Z37" s="77"/>
      <c r="AA37" s="77"/>
      <c r="AB37" s="77"/>
    </row>
    <row r="38" spans="1:2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77"/>
      <c r="Z38" s="77"/>
      <c r="AA38" s="77"/>
      <c r="AB38" s="77"/>
    </row>
    <row r="39" spans="1:2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77"/>
      <c r="Z39" s="77"/>
      <c r="AA39" s="77"/>
      <c r="AB39" s="77"/>
    </row>
    <row r="40" spans="1:2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77"/>
      <c r="Z40" s="77"/>
      <c r="AA40" s="77"/>
      <c r="AB40" s="77"/>
    </row>
    <row r="41" spans="1:2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77"/>
      <c r="Z41" s="77"/>
      <c r="AA41" s="77"/>
      <c r="AB41" s="77"/>
    </row>
    <row r="42" spans="1:2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77"/>
      <c r="Z42" s="77"/>
      <c r="AA42" s="77"/>
      <c r="AB42" s="77"/>
    </row>
    <row r="43" spans="1:2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77"/>
      <c r="Z43" s="77"/>
      <c r="AA43" s="77"/>
      <c r="AB43" s="77"/>
    </row>
    <row r="44" spans="1:2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77"/>
      <c r="Z44" s="77"/>
      <c r="AA44" s="77"/>
      <c r="AB44" s="77"/>
    </row>
    <row r="45" spans="1:2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77"/>
      <c r="Z45" s="77"/>
      <c r="AA45" s="77"/>
      <c r="AB45" s="77"/>
    </row>
    <row r="46" spans="1:2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77"/>
      <c r="Z46" s="77"/>
      <c r="AA46" s="77"/>
      <c r="AB46" s="77"/>
    </row>
    <row r="47" spans="1:2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77"/>
      <c r="Z47" s="77"/>
      <c r="AA47" s="77"/>
      <c r="AB47" s="77"/>
    </row>
    <row r="48" spans="1:2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77"/>
      <c r="Z48" s="77"/>
      <c r="AA48" s="77"/>
      <c r="AB48" s="77"/>
    </row>
    <row r="49" spans="1:28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77"/>
      <c r="Z49" s="77"/>
      <c r="AA49" s="77"/>
      <c r="AB49" s="77"/>
    </row>
    <row r="50" spans="1:28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77"/>
      <c r="Z50" s="77"/>
      <c r="AA50" s="77"/>
      <c r="AB50" s="77"/>
    </row>
    <row r="51" spans="1:28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77"/>
      <c r="Z51" s="77"/>
      <c r="AA51" s="77"/>
      <c r="AB51" s="77"/>
    </row>
    <row r="52" spans="1:28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77"/>
      <c r="Z52" s="77"/>
      <c r="AA52" s="77"/>
      <c r="AB52" s="77"/>
    </row>
    <row r="53" spans="1:28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77"/>
      <c r="Z53" s="77"/>
      <c r="AA53" s="77"/>
      <c r="AB53" s="77"/>
    </row>
    <row r="54" spans="1:28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77"/>
      <c r="Z54" s="77"/>
      <c r="AA54" s="77"/>
      <c r="AB54" s="77"/>
    </row>
    <row r="55" spans="1:28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77"/>
      <c r="Z55" s="77"/>
      <c r="AA55" s="77"/>
      <c r="AB55" s="77"/>
    </row>
    <row r="56" spans="1:28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77"/>
      <c r="Z56" s="77"/>
      <c r="AA56" s="77"/>
      <c r="AB56" s="77"/>
    </row>
    <row r="57" spans="1:2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77"/>
      <c r="Z57" s="77"/>
      <c r="AA57" s="77"/>
      <c r="AB57" s="77"/>
    </row>
    <row r="58" spans="1:2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77"/>
      <c r="Z58" s="77"/>
      <c r="AA58" s="77"/>
      <c r="AB58" s="77"/>
    </row>
    <row r="59" spans="1:28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77"/>
      <c r="Z59" s="77"/>
      <c r="AA59" s="77"/>
      <c r="AB59" s="77"/>
    </row>
    <row r="60" spans="1:28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77"/>
      <c r="Z60" s="77"/>
      <c r="AA60" s="77"/>
      <c r="AB60" s="77"/>
    </row>
    <row r="61" spans="1:2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7"/>
      <c r="Z61" s="77"/>
      <c r="AA61" s="77"/>
      <c r="AB61" s="77"/>
    </row>
    <row r="62" spans="1:28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7"/>
      <c r="Z62" s="77"/>
      <c r="AA62" s="77"/>
      <c r="AB62" s="77"/>
    </row>
    <row r="63" spans="1:2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7"/>
      <c r="Z63" s="77"/>
      <c r="AA63" s="77"/>
      <c r="AB63" s="77"/>
    </row>
    <row r="64" spans="1:28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7"/>
      <c r="Z64" s="77"/>
      <c r="AA64" s="77"/>
      <c r="AB64" s="77"/>
    </row>
    <row r="65" spans="1:28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7"/>
      <c r="Z65" s="77"/>
      <c r="AA65" s="77"/>
      <c r="AB65" s="77"/>
    </row>
    <row r="66" spans="1:28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7"/>
      <c r="Z66" s="77"/>
      <c r="AA66" s="77"/>
      <c r="AB66" s="77"/>
    </row>
    <row r="67" spans="1:2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7"/>
      <c r="Z67" s="77"/>
      <c r="AA67" s="77"/>
      <c r="AB67" s="77"/>
    </row>
    <row r="68" spans="1:2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7"/>
      <c r="Z68" s="77"/>
      <c r="AA68" s="77"/>
      <c r="AB68" s="77"/>
    </row>
    <row r="69" spans="1:2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7"/>
      <c r="Z69" s="77"/>
      <c r="AA69" s="77"/>
      <c r="AB69" s="77"/>
    </row>
    <row r="70" spans="1:2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77"/>
      <c r="Z70" s="77"/>
      <c r="AA70" s="77"/>
      <c r="AB70" s="77"/>
    </row>
    <row r="71" spans="1:2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77"/>
      <c r="Z71" s="77"/>
      <c r="AA71" s="77"/>
      <c r="AB71" s="77"/>
    </row>
    <row r="72" spans="1:28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77"/>
      <c r="Z72" s="77"/>
      <c r="AA72" s="77"/>
      <c r="AB72" s="77"/>
    </row>
    <row r="73" spans="1:2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77"/>
      <c r="Z73" s="77"/>
      <c r="AA73" s="77"/>
      <c r="AB73" s="77"/>
    </row>
    <row r="74" spans="1:2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77"/>
      <c r="Z74" s="77"/>
      <c r="AA74" s="77"/>
      <c r="AB74" s="77"/>
    </row>
    <row r="75" spans="1:2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77"/>
      <c r="Z75" s="77"/>
      <c r="AA75" s="77"/>
      <c r="AB75" s="77"/>
    </row>
    <row r="76" spans="1:2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77"/>
      <c r="Z76" s="77"/>
      <c r="AA76" s="77"/>
      <c r="AB76" s="77"/>
    </row>
    <row r="77" spans="1:2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77"/>
      <c r="Z77" s="77"/>
      <c r="AA77" s="77"/>
      <c r="AB77" s="77"/>
    </row>
    <row r="78" spans="1:2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77"/>
      <c r="Z78" s="77"/>
      <c r="AA78" s="77"/>
      <c r="AB78" s="77"/>
    </row>
    <row r="79" spans="1:2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77"/>
      <c r="Z79" s="77"/>
      <c r="AA79" s="77"/>
      <c r="AB79" s="77"/>
    </row>
    <row r="80" spans="1:2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77"/>
      <c r="Z80" s="77"/>
      <c r="AA80" s="77"/>
      <c r="AB80" s="77"/>
    </row>
    <row r="81" spans="1:2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77"/>
      <c r="Z81" s="77"/>
      <c r="AA81" s="77"/>
      <c r="AB81" s="77"/>
    </row>
    <row r="82" spans="1:2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77"/>
      <c r="Z82" s="77"/>
      <c r="AA82" s="77"/>
      <c r="AB82" s="77"/>
    </row>
    <row r="83" spans="1:2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77"/>
      <c r="Z83" s="77"/>
      <c r="AA83" s="77"/>
      <c r="AB83" s="77"/>
    </row>
    <row r="84" spans="1:2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77"/>
      <c r="Z84" s="77"/>
      <c r="AA84" s="77"/>
      <c r="AB84" s="77"/>
    </row>
    <row r="85" spans="1:2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77"/>
      <c r="Z85" s="77"/>
      <c r="AA85" s="77"/>
      <c r="AB85" s="77"/>
    </row>
    <row r="86" spans="1:2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77"/>
      <c r="Z86" s="77"/>
      <c r="AA86" s="77"/>
      <c r="AB86" s="77"/>
    </row>
    <row r="87" spans="1:2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77"/>
      <c r="Z87" s="77"/>
      <c r="AA87" s="77"/>
      <c r="AB87" s="77"/>
    </row>
    <row r="88" spans="1:2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77"/>
      <c r="Z88" s="77"/>
      <c r="AA88" s="77"/>
      <c r="AB88" s="77"/>
    </row>
    <row r="89" spans="1:2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77"/>
      <c r="Z89" s="77"/>
      <c r="AA89" s="77"/>
      <c r="AB89" s="77"/>
    </row>
    <row r="90" spans="1:2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77"/>
      <c r="Z90" s="77"/>
      <c r="AA90" s="77"/>
      <c r="AB90" s="77"/>
    </row>
    <row r="91" spans="1:2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77"/>
      <c r="Z91" s="77"/>
      <c r="AA91" s="77"/>
      <c r="AB91" s="77"/>
    </row>
    <row r="92" spans="1:2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77"/>
      <c r="Z92" s="77"/>
      <c r="AA92" s="77"/>
      <c r="AB92" s="77"/>
    </row>
    <row r="93" spans="1:2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77"/>
      <c r="Z93" s="77"/>
      <c r="AA93" s="77"/>
      <c r="AB93" s="77"/>
    </row>
    <row r="94" spans="1:2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77"/>
      <c r="Z94" s="77"/>
      <c r="AA94" s="77"/>
      <c r="AB94" s="77"/>
    </row>
    <row r="95" spans="1:2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77"/>
      <c r="Z95" s="77"/>
      <c r="AA95" s="77"/>
      <c r="AB95" s="77"/>
    </row>
    <row r="96" spans="1:2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77"/>
      <c r="Z96" s="77"/>
      <c r="AA96" s="77"/>
      <c r="AB96" s="77"/>
    </row>
    <row r="97" spans="1:2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77"/>
      <c r="Z97" s="77"/>
      <c r="AA97" s="77"/>
      <c r="AB97" s="77"/>
    </row>
    <row r="98" spans="1:2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77"/>
      <c r="Z98" s="77"/>
      <c r="AA98" s="77"/>
      <c r="AB98" s="77"/>
    </row>
    <row r="99" spans="1:2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77"/>
      <c r="Z99" s="77"/>
      <c r="AA99" s="77"/>
      <c r="AB99" s="77"/>
    </row>
    <row r="100" spans="1:2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77"/>
      <c r="Z100" s="77"/>
      <c r="AA100" s="77"/>
      <c r="AB100" s="77"/>
    </row>
    <row r="101" spans="1:2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77"/>
      <c r="Z101" s="77"/>
      <c r="AA101" s="77"/>
      <c r="AB101" s="77"/>
    </row>
    <row r="102" spans="1:2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77"/>
      <c r="Z102" s="77"/>
      <c r="AA102" s="77"/>
      <c r="AB102" s="77"/>
    </row>
    <row r="103" spans="1:2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77"/>
      <c r="Z103" s="77"/>
      <c r="AA103" s="77"/>
      <c r="AB103" s="77"/>
    </row>
    <row r="104" spans="1:2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77"/>
      <c r="Z104" s="77"/>
      <c r="AA104" s="77"/>
      <c r="AB104" s="77"/>
    </row>
    <row r="105" spans="1:2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77"/>
      <c r="Z105" s="77"/>
      <c r="AA105" s="77"/>
      <c r="AB105" s="77"/>
    </row>
    <row r="106" spans="1:2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77"/>
      <c r="Z106" s="77"/>
      <c r="AA106" s="77"/>
      <c r="AB106" s="77"/>
    </row>
    <row r="107" spans="1:2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77"/>
      <c r="Z107" s="77"/>
      <c r="AA107" s="77"/>
      <c r="AB107" s="77"/>
    </row>
    <row r="108" spans="1:2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77"/>
      <c r="Z108" s="77"/>
      <c r="AA108" s="77"/>
      <c r="AB108" s="77"/>
    </row>
    <row r="109" spans="1:2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77"/>
      <c r="Z109" s="77"/>
      <c r="AA109" s="77"/>
      <c r="AB109" s="77"/>
    </row>
    <row r="110" spans="1:2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77"/>
      <c r="Z110" s="77"/>
      <c r="AA110" s="77"/>
      <c r="AB110" s="77"/>
    </row>
    <row r="111" spans="1:2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77"/>
      <c r="Z111" s="77"/>
      <c r="AA111" s="77"/>
      <c r="AB111" s="77"/>
    </row>
    <row r="112" spans="1:2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77"/>
      <c r="Z112" s="77"/>
      <c r="AA112" s="77"/>
      <c r="AB112" s="77"/>
    </row>
    <row r="113" spans="1:2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77"/>
      <c r="Z113" s="77"/>
      <c r="AA113" s="77"/>
      <c r="AB113" s="77"/>
    </row>
    <row r="114" spans="1:2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77"/>
      <c r="Z114" s="77"/>
      <c r="AA114" s="77"/>
      <c r="AB114" s="77"/>
    </row>
    <row r="115" spans="1:2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77"/>
      <c r="Z115" s="77"/>
      <c r="AA115" s="77"/>
      <c r="AB115" s="77"/>
    </row>
    <row r="116" spans="1:2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77"/>
      <c r="Z116" s="77"/>
      <c r="AA116" s="77"/>
      <c r="AB116" s="77"/>
    </row>
    <row r="117" spans="1:2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77"/>
      <c r="Z117" s="77"/>
      <c r="AA117" s="77"/>
      <c r="AB117" s="77"/>
    </row>
    <row r="118" spans="1:2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77"/>
      <c r="Z118" s="77"/>
      <c r="AA118" s="77"/>
      <c r="AB118" s="77"/>
    </row>
    <row r="119" spans="1:2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77"/>
      <c r="Z119" s="77"/>
      <c r="AA119" s="77"/>
      <c r="AB119" s="77"/>
    </row>
    <row r="120" spans="1:2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77"/>
      <c r="Z120" s="77"/>
      <c r="AA120" s="77"/>
      <c r="AB120" s="77"/>
    </row>
    <row r="121" spans="1:2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77"/>
      <c r="Z121" s="77"/>
      <c r="AA121" s="77"/>
      <c r="AB121" s="77"/>
    </row>
    <row r="122" spans="1:2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77"/>
      <c r="Z122" s="77"/>
      <c r="AA122" s="77"/>
      <c r="AB122" s="77"/>
    </row>
    <row r="123" spans="1:2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77"/>
      <c r="Z123" s="77"/>
      <c r="AA123" s="77"/>
      <c r="AB123" s="77"/>
    </row>
    <row r="124" spans="1:2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77"/>
      <c r="Z124" s="77"/>
      <c r="AA124" s="77"/>
      <c r="AB124" s="77"/>
    </row>
    <row r="125" spans="1:2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77"/>
      <c r="Z125" s="77"/>
      <c r="AA125" s="77"/>
      <c r="AB125" s="77"/>
    </row>
    <row r="126" spans="1:2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77"/>
      <c r="Z126" s="77"/>
      <c r="AA126" s="77"/>
      <c r="AB126" s="77"/>
    </row>
    <row r="127" spans="1:2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77"/>
      <c r="Z127" s="77"/>
      <c r="AA127" s="77"/>
      <c r="AB127" s="77"/>
    </row>
    <row r="128" spans="1:2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77"/>
      <c r="Z128" s="77"/>
      <c r="AA128" s="77"/>
      <c r="AB128" s="77"/>
    </row>
    <row r="129" spans="1:2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77"/>
      <c r="Z129" s="77"/>
      <c r="AA129" s="77"/>
      <c r="AB129" s="77"/>
    </row>
    <row r="130" spans="1:2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77"/>
      <c r="Z130" s="77"/>
      <c r="AA130" s="77"/>
      <c r="AB130" s="77"/>
    </row>
    <row r="131" spans="1:2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77"/>
      <c r="Z131" s="77"/>
      <c r="AA131" s="77"/>
      <c r="AB131" s="77"/>
    </row>
    <row r="132" spans="1:2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77"/>
      <c r="Z132" s="77"/>
      <c r="AA132" s="77"/>
      <c r="AB132" s="77"/>
    </row>
    <row r="133" spans="1:2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77"/>
      <c r="Z133" s="77"/>
      <c r="AA133" s="77"/>
      <c r="AB133" s="77"/>
    </row>
    <row r="134" spans="1:2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77"/>
      <c r="Z134" s="77"/>
      <c r="AA134" s="77"/>
      <c r="AB134" s="77"/>
    </row>
    <row r="135" spans="1:2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77"/>
      <c r="Z135" s="77"/>
      <c r="AA135" s="77"/>
      <c r="AB135" s="77"/>
    </row>
    <row r="136" spans="1:2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77"/>
      <c r="Z136" s="77"/>
      <c r="AA136" s="77"/>
      <c r="AB136" s="77"/>
    </row>
    <row r="137" spans="1:2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77"/>
      <c r="Z137" s="77"/>
      <c r="AA137" s="77"/>
      <c r="AB137" s="77"/>
    </row>
    <row r="138" spans="1:2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77"/>
      <c r="Z138" s="77"/>
      <c r="AA138" s="77"/>
      <c r="AB138" s="77"/>
    </row>
    <row r="139" spans="1:2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77"/>
      <c r="Z139" s="77"/>
      <c r="AA139" s="77"/>
      <c r="AB139" s="77"/>
    </row>
    <row r="140" spans="1:2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77"/>
      <c r="Z140" s="77"/>
      <c r="AA140" s="77"/>
      <c r="AB140" s="77"/>
    </row>
    <row r="141" spans="1:2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77"/>
      <c r="Z141" s="77"/>
      <c r="AA141" s="77"/>
      <c r="AB141" s="77"/>
    </row>
    <row r="142" spans="1:2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77"/>
      <c r="Z142" s="77"/>
      <c r="AA142" s="77"/>
      <c r="AB142" s="77"/>
    </row>
    <row r="143" spans="1:2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77"/>
      <c r="Z143" s="77"/>
      <c r="AA143" s="77"/>
      <c r="AB143" s="77"/>
    </row>
    <row r="144" spans="1:2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77"/>
      <c r="Z144" s="77"/>
      <c r="AA144" s="77"/>
      <c r="AB144" s="77"/>
    </row>
    <row r="145" spans="1:2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77"/>
      <c r="Z145" s="77"/>
      <c r="AA145" s="77"/>
      <c r="AB145" s="77"/>
    </row>
    <row r="146" spans="1:2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77"/>
      <c r="Z146" s="77"/>
      <c r="AA146" s="77"/>
      <c r="AB146" s="77"/>
    </row>
    <row r="147" spans="1:2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77"/>
      <c r="Z147" s="77"/>
      <c r="AA147" s="77"/>
      <c r="AB147" s="77"/>
    </row>
    <row r="148" spans="1:2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77"/>
      <c r="Z148" s="77"/>
      <c r="AA148" s="77"/>
      <c r="AB148" s="77"/>
    </row>
    <row r="149" spans="1:2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77"/>
      <c r="Z149" s="77"/>
      <c r="AA149" s="77"/>
      <c r="AB149" s="77"/>
    </row>
    <row r="150" spans="1:2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77"/>
      <c r="Z150" s="77"/>
      <c r="AA150" s="77"/>
      <c r="AB150" s="77"/>
    </row>
    <row r="151" spans="1:2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77"/>
      <c r="Z151" s="77"/>
      <c r="AA151" s="77"/>
      <c r="AB151" s="77"/>
    </row>
    <row r="152" spans="1:2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77"/>
      <c r="Z152" s="77"/>
      <c r="AA152" s="77"/>
      <c r="AB152" s="77"/>
    </row>
    <row r="153" spans="1:2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77"/>
      <c r="Z153" s="77"/>
      <c r="AA153" s="77"/>
      <c r="AB153" s="77"/>
    </row>
    <row r="154" spans="1:2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77"/>
      <c r="Z154" s="77"/>
      <c r="AA154" s="77"/>
      <c r="AB154" s="77"/>
    </row>
    <row r="155" spans="1:2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77"/>
      <c r="Z155" s="77"/>
      <c r="AA155" s="77"/>
      <c r="AB155" s="77"/>
    </row>
    <row r="156" spans="1:2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77"/>
      <c r="Z156" s="77"/>
      <c r="AA156" s="77"/>
      <c r="AB156" s="77"/>
    </row>
    <row r="157" spans="1:2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77"/>
      <c r="Z157" s="77"/>
      <c r="AA157" s="77"/>
      <c r="AB157" s="77"/>
    </row>
    <row r="158" spans="1:2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77"/>
      <c r="Z158" s="77"/>
      <c r="AA158" s="77"/>
      <c r="AB158" s="77"/>
    </row>
    <row r="159" spans="1:2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77"/>
      <c r="Z159" s="77"/>
      <c r="AA159" s="77"/>
      <c r="AB159" s="77"/>
    </row>
    <row r="160" spans="1:2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77"/>
      <c r="Z160" s="77"/>
      <c r="AA160" s="77"/>
      <c r="AB160" s="77"/>
    </row>
    <row r="161" spans="1:2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77"/>
      <c r="Z161" s="77"/>
      <c r="AA161" s="77"/>
      <c r="AB161" s="77"/>
    </row>
    <row r="162" spans="1:2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77"/>
      <c r="Z162" s="77"/>
      <c r="AA162" s="77"/>
      <c r="AB162" s="77"/>
    </row>
    <row r="163" spans="1:2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77"/>
      <c r="Z163" s="77"/>
      <c r="AA163" s="77"/>
      <c r="AB163" s="77"/>
    </row>
    <row r="164" spans="1:2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77"/>
      <c r="Z164" s="77"/>
      <c r="AA164" s="77"/>
      <c r="AB164" s="77"/>
    </row>
    <row r="165" spans="1:2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77"/>
      <c r="Z165" s="77"/>
      <c r="AA165" s="77"/>
      <c r="AB165" s="77"/>
    </row>
    <row r="166" spans="1:2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77"/>
      <c r="Z166" s="77"/>
      <c r="AA166" s="77"/>
      <c r="AB166" s="77"/>
    </row>
    <row r="167" spans="1:2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77"/>
      <c r="Z167" s="77"/>
      <c r="AA167" s="77"/>
      <c r="AB167" s="77"/>
    </row>
    <row r="168" spans="1:2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77"/>
      <c r="Z168" s="77"/>
      <c r="AA168" s="77"/>
      <c r="AB168" s="77"/>
    </row>
    <row r="169" spans="1:2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77"/>
      <c r="Z169" s="77"/>
      <c r="AA169" s="77"/>
      <c r="AB169" s="77"/>
    </row>
    <row r="170" spans="1:2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77"/>
      <c r="Z170" s="77"/>
      <c r="AA170" s="77"/>
      <c r="AB170" s="77"/>
    </row>
    <row r="171" spans="1:2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77"/>
      <c r="Z171" s="77"/>
      <c r="AA171" s="77"/>
      <c r="AB171" s="77"/>
    </row>
    <row r="172" spans="1:2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77"/>
      <c r="Z172" s="77"/>
      <c r="AA172" s="77"/>
      <c r="AB172" s="77"/>
    </row>
    <row r="173" spans="1:2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77"/>
      <c r="Z173" s="77"/>
      <c r="AA173" s="77"/>
      <c r="AB173" s="77"/>
    </row>
    <row r="174" spans="1:2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77"/>
      <c r="Z174" s="77"/>
      <c r="AA174" s="77"/>
      <c r="AB174" s="77"/>
    </row>
    <row r="175" spans="1:2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77"/>
      <c r="Z175" s="77"/>
      <c r="AA175" s="77"/>
      <c r="AB175" s="77"/>
    </row>
    <row r="176" spans="1:2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77"/>
      <c r="Z176" s="77"/>
      <c r="AA176" s="77"/>
      <c r="AB176" s="77"/>
    </row>
    <row r="177" spans="1:2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77"/>
      <c r="Z177" s="77"/>
      <c r="AA177" s="77"/>
      <c r="AB177" s="77"/>
    </row>
    <row r="178" spans="1:2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77"/>
      <c r="Z178" s="77"/>
      <c r="AA178" s="77"/>
      <c r="AB178" s="77"/>
    </row>
    <row r="179" spans="1:2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77"/>
      <c r="Z179" s="77"/>
      <c r="AA179" s="77"/>
      <c r="AB179" s="77"/>
    </row>
    <row r="180" spans="1:2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77"/>
      <c r="Z180" s="77"/>
      <c r="AA180" s="77"/>
      <c r="AB180" s="77"/>
    </row>
    <row r="181" spans="1:2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 spans="1:2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 spans="1:2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 spans="1:2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 spans="1:2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 spans="1:2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 spans="1:2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 spans="1:2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 spans="1:2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 spans="1:2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 spans="1:2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 spans="1:28" x14ac:dyDescent="0.25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 spans="1:28" x14ac:dyDescent="0.25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 spans="1:28" x14ac:dyDescent="0.25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 spans="1:28" x14ac:dyDescent="0.2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 spans="1:28" x14ac:dyDescent="0.25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 spans="1:28" x14ac:dyDescent="0.25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 spans="1:28" x14ac:dyDescent="0.25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 spans="1:28" x14ac:dyDescent="0.25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 spans="1:28" x14ac:dyDescent="0.25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 spans="1:28" x14ac:dyDescent="0.25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 spans="1:28" x14ac:dyDescent="0.25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 spans="1:28" x14ac:dyDescent="0.25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 spans="1:28" x14ac:dyDescent="0.25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 spans="1:28" x14ac:dyDescent="0.2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 spans="1:28" x14ac:dyDescent="0.25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 spans="1:28" x14ac:dyDescent="0.25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 spans="1:28" x14ac:dyDescent="0.25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 spans="1:28" x14ac:dyDescent="0.25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 spans="1:28" x14ac:dyDescent="0.25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 spans="1:28" x14ac:dyDescent="0.25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 spans="1:28" x14ac:dyDescent="0.25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 spans="1:28" x14ac:dyDescent="0.25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 spans="1:28" x14ac:dyDescent="0.25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 spans="1:28" x14ac:dyDescent="0.2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 spans="1:28" x14ac:dyDescent="0.25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 spans="1:28" x14ac:dyDescent="0.25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 spans="1:28" x14ac:dyDescent="0.25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 spans="1:28" x14ac:dyDescent="0.25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 spans="1:28" x14ac:dyDescent="0.25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 spans="1:28" x14ac:dyDescent="0.25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 spans="1:28" x14ac:dyDescent="0.25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 spans="1:28" x14ac:dyDescent="0.25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 spans="1:28" x14ac:dyDescent="0.25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 spans="1:28" x14ac:dyDescent="0.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 spans="1:28" x14ac:dyDescent="0.25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 spans="1:28" x14ac:dyDescent="0.25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 spans="1:28" x14ac:dyDescent="0.25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 spans="1:28" x14ac:dyDescent="0.25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 spans="1:28" x14ac:dyDescent="0.25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 spans="1:28" x14ac:dyDescent="0.25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 spans="1:28" x14ac:dyDescent="0.25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 spans="1:28" x14ac:dyDescent="0.25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 spans="1:28" x14ac:dyDescent="0.25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 spans="1:28" x14ac:dyDescent="0.2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 spans="1:28" x14ac:dyDescent="0.25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 spans="1:28" x14ac:dyDescent="0.25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 spans="1:28" x14ac:dyDescent="0.25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 spans="1:28" x14ac:dyDescent="0.25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 spans="1:28" x14ac:dyDescent="0.25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 spans="1:28" x14ac:dyDescent="0.25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 spans="1:28" x14ac:dyDescent="0.25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 spans="1:28" x14ac:dyDescent="0.25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 spans="1:28" x14ac:dyDescent="0.25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 spans="1:28" x14ac:dyDescent="0.2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 spans="1:28" x14ac:dyDescent="0.25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 spans="1:28" x14ac:dyDescent="0.25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 spans="1:28" x14ac:dyDescent="0.25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 spans="1:28" x14ac:dyDescent="0.25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 spans="1:28" x14ac:dyDescent="0.25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 spans="1:28" x14ac:dyDescent="0.25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 spans="1:28" x14ac:dyDescent="0.25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 spans="1:28" x14ac:dyDescent="0.25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 spans="1:28" x14ac:dyDescent="0.25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 spans="1:28" x14ac:dyDescent="0.2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 spans="1:28" x14ac:dyDescent="0.25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 spans="1:28" x14ac:dyDescent="0.25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 spans="1:28" x14ac:dyDescent="0.25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 spans="1:28" x14ac:dyDescent="0.25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 spans="1:28" x14ac:dyDescent="0.25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 spans="1:28" x14ac:dyDescent="0.25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 spans="1:28" x14ac:dyDescent="0.25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 spans="1:28" x14ac:dyDescent="0.25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 spans="1:28" x14ac:dyDescent="0.25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 spans="1:28" x14ac:dyDescent="0.2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 spans="1:28" x14ac:dyDescent="0.25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 spans="1:28" x14ac:dyDescent="0.25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 spans="1:28" x14ac:dyDescent="0.25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 spans="1:28" x14ac:dyDescent="0.25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 spans="1:28" x14ac:dyDescent="0.25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 spans="1:28" x14ac:dyDescent="0.25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 spans="1:28" x14ac:dyDescent="0.25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 spans="1:28" x14ac:dyDescent="0.25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 spans="1:28" x14ac:dyDescent="0.25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 spans="1:28" x14ac:dyDescent="0.2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 spans="1:28" x14ac:dyDescent="0.25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 spans="1:28" x14ac:dyDescent="0.25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 spans="1:28" x14ac:dyDescent="0.25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 spans="1:28" x14ac:dyDescent="0.25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 spans="1:28" x14ac:dyDescent="0.25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 spans="1:28" x14ac:dyDescent="0.25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 spans="1:28" x14ac:dyDescent="0.25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 spans="1:28" x14ac:dyDescent="0.25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 spans="1:28" x14ac:dyDescent="0.25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 spans="1:28" x14ac:dyDescent="0.2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 spans="1:28" x14ac:dyDescent="0.25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 spans="1:28" x14ac:dyDescent="0.25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 spans="1:28" x14ac:dyDescent="0.25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 spans="1:28" x14ac:dyDescent="0.25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 spans="1:28" x14ac:dyDescent="0.25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 spans="1:28" x14ac:dyDescent="0.25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 spans="1:28" x14ac:dyDescent="0.25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 spans="1:28" x14ac:dyDescent="0.25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 spans="1:28" x14ac:dyDescent="0.25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 spans="1:28" x14ac:dyDescent="0.2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 spans="1:28" x14ac:dyDescent="0.25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 spans="1:28" x14ac:dyDescent="0.25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 spans="1:28" x14ac:dyDescent="0.25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 spans="1:28" x14ac:dyDescent="0.25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 spans="1:28" x14ac:dyDescent="0.25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 spans="1:28" x14ac:dyDescent="0.25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 spans="1:28" x14ac:dyDescent="0.25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 spans="1:28" x14ac:dyDescent="0.25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 spans="1:28" x14ac:dyDescent="0.25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 spans="1:28" x14ac:dyDescent="0.2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 spans="1:28" x14ac:dyDescent="0.25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 spans="1:28" x14ac:dyDescent="0.25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 spans="1:28" x14ac:dyDescent="0.25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 spans="1:28" x14ac:dyDescent="0.25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 spans="1:28" x14ac:dyDescent="0.25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 spans="1:28" x14ac:dyDescent="0.25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 spans="1:28" x14ac:dyDescent="0.25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 spans="1:28" x14ac:dyDescent="0.25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 spans="1:28" x14ac:dyDescent="0.25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 spans="1:28" x14ac:dyDescent="0.2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 spans="1:28" x14ac:dyDescent="0.25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 spans="1:28" x14ac:dyDescent="0.25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 spans="1:28" x14ac:dyDescent="0.25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 spans="1:28" x14ac:dyDescent="0.25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 spans="1:28" x14ac:dyDescent="0.25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 spans="1:28" x14ac:dyDescent="0.25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 spans="1:28" x14ac:dyDescent="0.25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 spans="1:28" x14ac:dyDescent="0.25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 spans="1:28" x14ac:dyDescent="0.25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 spans="1:28" x14ac:dyDescent="0.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 spans="1:28" x14ac:dyDescent="0.25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 spans="1:28" x14ac:dyDescent="0.25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 spans="1:28" x14ac:dyDescent="0.25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 spans="1:28" x14ac:dyDescent="0.25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 spans="1:28" x14ac:dyDescent="0.25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 spans="1:28" x14ac:dyDescent="0.25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 spans="1:28" x14ac:dyDescent="0.25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 spans="1:28" x14ac:dyDescent="0.25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 spans="1:28" x14ac:dyDescent="0.25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 spans="1:28" x14ac:dyDescent="0.2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 spans="1:28" x14ac:dyDescent="0.25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 spans="1:28" x14ac:dyDescent="0.25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 spans="1:28" x14ac:dyDescent="0.25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 spans="1:28" x14ac:dyDescent="0.25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 spans="1:28" x14ac:dyDescent="0.25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 spans="1:28" x14ac:dyDescent="0.25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 spans="1:28" x14ac:dyDescent="0.25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 spans="1:28" x14ac:dyDescent="0.25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 spans="1:28" x14ac:dyDescent="0.25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 spans="1:28" x14ac:dyDescent="0.2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 spans="1:28" x14ac:dyDescent="0.25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 spans="1:28" x14ac:dyDescent="0.25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 spans="1:28" x14ac:dyDescent="0.25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 spans="1:28" x14ac:dyDescent="0.25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 spans="1:28" x14ac:dyDescent="0.25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 spans="1:28" x14ac:dyDescent="0.25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 spans="1:28" x14ac:dyDescent="0.25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 spans="1:28" x14ac:dyDescent="0.25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 spans="1:28" x14ac:dyDescent="0.25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 spans="1:28" x14ac:dyDescent="0.2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 spans="1:28" x14ac:dyDescent="0.25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 spans="1:28" x14ac:dyDescent="0.25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 spans="1:28" x14ac:dyDescent="0.25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 spans="1:28" x14ac:dyDescent="0.25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 spans="1:28" x14ac:dyDescent="0.25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 spans="1:28" x14ac:dyDescent="0.25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 spans="1:28" x14ac:dyDescent="0.25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 spans="1:28" x14ac:dyDescent="0.25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 spans="1:28" x14ac:dyDescent="0.25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 spans="1:28" x14ac:dyDescent="0.2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 spans="1:28" x14ac:dyDescent="0.25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 spans="1:28" x14ac:dyDescent="0.25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 spans="1:28" x14ac:dyDescent="0.25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 spans="1:28" x14ac:dyDescent="0.25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 spans="1:28" x14ac:dyDescent="0.25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 spans="1:28" x14ac:dyDescent="0.25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 spans="1:28" x14ac:dyDescent="0.25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 spans="1:28" x14ac:dyDescent="0.25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 spans="1:28" x14ac:dyDescent="0.25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 spans="1:28" x14ac:dyDescent="0.2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 spans="1:28" x14ac:dyDescent="0.25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 spans="1:28" x14ac:dyDescent="0.25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 spans="1:28" x14ac:dyDescent="0.25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 spans="1:28" x14ac:dyDescent="0.25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 spans="1:28" x14ac:dyDescent="0.25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 spans="1:28" x14ac:dyDescent="0.25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 spans="1:28" x14ac:dyDescent="0.25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 spans="1:28" x14ac:dyDescent="0.25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 spans="1:28" x14ac:dyDescent="0.25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 spans="1:28" x14ac:dyDescent="0.2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 spans="1:28" x14ac:dyDescent="0.25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 spans="1:28" x14ac:dyDescent="0.25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 spans="1:28" x14ac:dyDescent="0.25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 spans="1:28" x14ac:dyDescent="0.25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 spans="1:28" x14ac:dyDescent="0.25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 spans="1:28" x14ac:dyDescent="0.25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 spans="1:28" x14ac:dyDescent="0.25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 spans="1:28" x14ac:dyDescent="0.25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 spans="1:28" x14ac:dyDescent="0.25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 spans="1:28" x14ac:dyDescent="0.2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 spans="1:28" x14ac:dyDescent="0.25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 spans="1:28" x14ac:dyDescent="0.25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 spans="1:28" x14ac:dyDescent="0.25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 spans="1:28" x14ac:dyDescent="0.25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 spans="1:28" x14ac:dyDescent="0.25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 spans="1:28" x14ac:dyDescent="0.25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 spans="1:28" x14ac:dyDescent="0.25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 spans="1:28" x14ac:dyDescent="0.25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 spans="1:28" x14ac:dyDescent="0.25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 spans="1:28" x14ac:dyDescent="0.2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 spans="1:28" x14ac:dyDescent="0.25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 spans="1:28" x14ac:dyDescent="0.25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 spans="1:28" x14ac:dyDescent="0.25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 spans="1:28" x14ac:dyDescent="0.25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 spans="1:28" x14ac:dyDescent="0.25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 spans="1:28" x14ac:dyDescent="0.25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 spans="1:28" x14ac:dyDescent="0.25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 spans="1:28" x14ac:dyDescent="0.25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 spans="1:28" x14ac:dyDescent="0.25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 spans="1:28" x14ac:dyDescent="0.2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 spans="1:28" x14ac:dyDescent="0.25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 spans="1:28" x14ac:dyDescent="0.25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 spans="1:28" x14ac:dyDescent="0.25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 spans="1:28" x14ac:dyDescent="0.25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 spans="1:28" x14ac:dyDescent="0.25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 spans="1:28" x14ac:dyDescent="0.25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 spans="1:28" x14ac:dyDescent="0.25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 spans="1:28" x14ac:dyDescent="0.25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 spans="1:28" x14ac:dyDescent="0.25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 spans="1:28" x14ac:dyDescent="0.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 spans="1:28" x14ac:dyDescent="0.25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 spans="1:28" x14ac:dyDescent="0.25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 spans="1:28" x14ac:dyDescent="0.25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 spans="1:28" x14ac:dyDescent="0.25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 spans="1:28" x14ac:dyDescent="0.25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 spans="1:28" x14ac:dyDescent="0.25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 spans="1:28" x14ac:dyDescent="0.25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 spans="1:28" x14ac:dyDescent="0.25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 spans="1:28" x14ac:dyDescent="0.25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 spans="1:28" x14ac:dyDescent="0.2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 spans="1:28" x14ac:dyDescent="0.25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 spans="1:28" x14ac:dyDescent="0.25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 spans="1:28" x14ac:dyDescent="0.25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 spans="1:28" x14ac:dyDescent="0.25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 spans="1:28" x14ac:dyDescent="0.25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 spans="1:28" x14ac:dyDescent="0.25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 spans="1:28" x14ac:dyDescent="0.25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 spans="1:28" x14ac:dyDescent="0.25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 spans="1:28" x14ac:dyDescent="0.25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 spans="1:28" x14ac:dyDescent="0.2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 spans="1:28" x14ac:dyDescent="0.25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 spans="1:28" x14ac:dyDescent="0.25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 spans="1:28" x14ac:dyDescent="0.25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 spans="1:28" x14ac:dyDescent="0.25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 spans="1:28" x14ac:dyDescent="0.25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 spans="1:28" x14ac:dyDescent="0.25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 spans="1:28" x14ac:dyDescent="0.25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 spans="1:28" x14ac:dyDescent="0.25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 spans="1:28" x14ac:dyDescent="0.25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 spans="1:28" x14ac:dyDescent="0.2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 spans="1:28" x14ac:dyDescent="0.25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 spans="1:28" x14ac:dyDescent="0.25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 spans="1:28" x14ac:dyDescent="0.25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 spans="1:28" x14ac:dyDescent="0.25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 spans="1:28" x14ac:dyDescent="0.25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 spans="1:28" x14ac:dyDescent="0.25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 spans="1:28" x14ac:dyDescent="0.25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 spans="1:28" x14ac:dyDescent="0.25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 spans="1:28" x14ac:dyDescent="0.25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 spans="1:28" x14ac:dyDescent="0.2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 spans="1:28" x14ac:dyDescent="0.25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 spans="1:28" x14ac:dyDescent="0.25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 spans="1:28" x14ac:dyDescent="0.25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 spans="1:28" x14ac:dyDescent="0.25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 spans="1:28" x14ac:dyDescent="0.25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 spans="1:28" x14ac:dyDescent="0.25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 spans="1:28" x14ac:dyDescent="0.25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 spans="1:28" x14ac:dyDescent="0.25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 spans="1:28" x14ac:dyDescent="0.25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 spans="1:28" x14ac:dyDescent="0.2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 spans="1:28" x14ac:dyDescent="0.25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 spans="1:28" x14ac:dyDescent="0.25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 spans="1:28" x14ac:dyDescent="0.25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 spans="1:28" x14ac:dyDescent="0.25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 spans="1:28" x14ac:dyDescent="0.25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 spans="1:28" x14ac:dyDescent="0.25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 spans="1:28" x14ac:dyDescent="0.25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 spans="1:28" x14ac:dyDescent="0.25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 spans="1:28" x14ac:dyDescent="0.25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 spans="1:28" x14ac:dyDescent="0.2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 spans="1:28" x14ac:dyDescent="0.25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 spans="1:28" x14ac:dyDescent="0.25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 spans="1:28" x14ac:dyDescent="0.25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 spans="1:28" x14ac:dyDescent="0.25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 spans="1:28" x14ac:dyDescent="0.25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 spans="1:28" x14ac:dyDescent="0.25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 spans="1:28" x14ac:dyDescent="0.25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 spans="1:28" x14ac:dyDescent="0.25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 spans="1:28" x14ac:dyDescent="0.25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 spans="1:28" x14ac:dyDescent="0.2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 spans="1:28" x14ac:dyDescent="0.25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 spans="1:28" x14ac:dyDescent="0.25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 spans="1:28" x14ac:dyDescent="0.25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 spans="1:28" x14ac:dyDescent="0.25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 spans="1:28" x14ac:dyDescent="0.25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 spans="1:28" x14ac:dyDescent="0.25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 spans="1:28" x14ac:dyDescent="0.25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 spans="1:28" x14ac:dyDescent="0.25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 spans="1:28" x14ac:dyDescent="0.25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 spans="1:28" x14ac:dyDescent="0.2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 spans="1:28" x14ac:dyDescent="0.25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 spans="1:28" x14ac:dyDescent="0.25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 spans="1:28" x14ac:dyDescent="0.25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 spans="1:28" x14ac:dyDescent="0.25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 spans="1:28" x14ac:dyDescent="0.25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 spans="1:28" x14ac:dyDescent="0.25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 spans="1:28" x14ac:dyDescent="0.25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 spans="1:28" x14ac:dyDescent="0.25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 spans="1:28" x14ac:dyDescent="0.25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 spans="1:28" x14ac:dyDescent="0.2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 spans="1:28" x14ac:dyDescent="0.25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 spans="1:28" x14ac:dyDescent="0.25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 spans="1:28" x14ac:dyDescent="0.25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 spans="1:28" x14ac:dyDescent="0.25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 spans="1:28" x14ac:dyDescent="0.25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 spans="1:28" x14ac:dyDescent="0.25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 spans="1:28" x14ac:dyDescent="0.25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 spans="1:28" x14ac:dyDescent="0.25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 spans="1:28" x14ac:dyDescent="0.25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 spans="1:28" x14ac:dyDescent="0.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 spans="1:28" x14ac:dyDescent="0.25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 spans="1:28" x14ac:dyDescent="0.25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 spans="1:28" x14ac:dyDescent="0.25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 spans="1:28" x14ac:dyDescent="0.25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 spans="1:28" x14ac:dyDescent="0.25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 spans="1:28" x14ac:dyDescent="0.25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 spans="1:28" x14ac:dyDescent="0.25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 spans="1:28" x14ac:dyDescent="0.25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 spans="1:28" x14ac:dyDescent="0.25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 spans="1:28" x14ac:dyDescent="0.2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 spans="1:28" x14ac:dyDescent="0.25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 spans="1:28" x14ac:dyDescent="0.25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 spans="1:28" x14ac:dyDescent="0.25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 spans="1:28" x14ac:dyDescent="0.25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 spans="1:28" x14ac:dyDescent="0.25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 spans="1:28" x14ac:dyDescent="0.25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 spans="1:28" x14ac:dyDescent="0.25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 spans="1:28" x14ac:dyDescent="0.25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 spans="1:28" x14ac:dyDescent="0.25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 spans="1:28" x14ac:dyDescent="0.2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 spans="1:28" x14ac:dyDescent="0.25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 spans="1:28" x14ac:dyDescent="0.25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 spans="1:28" x14ac:dyDescent="0.25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 spans="1:28" x14ac:dyDescent="0.25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 spans="1:28" x14ac:dyDescent="0.25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 spans="1:28" x14ac:dyDescent="0.25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 spans="1:28" x14ac:dyDescent="0.25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 spans="1:28" x14ac:dyDescent="0.25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 spans="1:28" x14ac:dyDescent="0.25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 spans="1:28" x14ac:dyDescent="0.2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 spans="1:28" x14ac:dyDescent="0.25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 spans="1:28" x14ac:dyDescent="0.25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 spans="1:28" x14ac:dyDescent="0.25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 spans="1:28" x14ac:dyDescent="0.25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 spans="1:28" x14ac:dyDescent="0.25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 spans="1:28" x14ac:dyDescent="0.25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 spans="1:28" x14ac:dyDescent="0.25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 spans="1:28" x14ac:dyDescent="0.25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 spans="1:28" x14ac:dyDescent="0.25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 spans="1:28" x14ac:dyDescent="0.2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 spans="1:28" x14ac:dyDescent="0.25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 spans="1:28" x14ac:dyDescent="0.25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 spans="1:28" x14ac:dyDescent="0.25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 spans="1:28" x14ac:dyDescent="0.25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 spans="1:28" x14ac:dyDescent="0.25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 spans="1:28" x14ac:dyDescent="0.25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 spans="1:28" x14ac:dyDescent="0.25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 spans="1:28" x14ac:dyDescent="0.25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 spans="1:28" x14ac:dyDescent="0.25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 spans="1:28" x14ac:dyDescent="0.2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 spans="1:28" x14ac:dyDescent="0.25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 spans="1:28" x14ac:dyDescent="0.25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 spans="1:28" x14ac:dyDescent="0.25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 spans="1:28" x14ac:dyDescent="0.25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 spans="1:28" x14ac:dyDescent="0.25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 spans="1:28" x14ac:dyDescent="0.25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 spans="1:28" x14ac:dyDescent="0.25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 spans="1:28" x14ac:dyDescent="0.25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 spans="1:28" x14ac:dyDescent="0.25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 spans="1:28" x14ac:dyDescent="0.2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 spans="1:28" x14ac:dyDescent="0.25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 spans="1:28" x14ac:dyDescent="0.25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 spans="1:28" x14ac:dyDescent="0.25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 spans="1:28" x14ac:dyDescent="0.25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 spans="1:28" x14ac:dyDescent="0.25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 spans="1:28" x14ac:dyDescent="0.25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 spans="1:28" x14ac:dyDescent="0.25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 spans="1:28" x14ac:dyDescent="0.25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 spans="1:28" x14ac:dyDescent="0.25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 spans="1:28" x14ac:dyDescent="0.2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 spans="1:28" x14ac:dyDescent="0.25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 spans="1:28" x14ac:dyDescent="0.25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 spans="1:28" x14ac:dyDescent="0.25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 spans="1:28" x14ac:dyDescent="0.25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 spans="1:28" x14ac:dyDescent="0.25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 spans="1:28" x14ac:dyDescent="0.25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 spans="1:28" x14ac:dyDescent="0.25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 spans="1:28" x14ac:dyDescent="0.25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 spans="1:28" x14ac:dyDescent="0.25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 spans="1:28" x14ac:dyDescent="0.2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 spans="1:28" x14ac:dyDescent="0.25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 spans="1:28" x14ac:dyDescent="0.25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 spans="1:28" x14ac:dyDescent="0.25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 spans="1:28" x14ac:dyDescent="0.25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 spans="1:28" x14ac:dyDescent="0.25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 spans="1:28" x14ac:dyDescent="0.25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 spans="1:28" x14ac:dyDescent="0.25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 spans="1:28" x14ac:dyDescent="0.25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 spans="1:28" x14ac:dyDescent="0.25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 spans="1:28" x14ac:dyDescent="0.2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 spans="1:28" x14ac:dyDescent="0.25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 spans="1:28" x14ac:dyDescent="0.25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 spans="1:28" x14ac:dyDescent="0.25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 spans="1:28" x14ac:dyDescent="0.25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 spans="1:28" x14ac:dyDescent="0.25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 spans="1:28" x14ac:dyDescent="0.25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 spans="1:28" x14ac:dyDescent="0.25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 spans="1:28" x14ac:dyDescent="0.25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 spans="1:28" x14ac:dyDescent="0.25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 spans="1:28" x14ac:dyDescent="0.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 spans="1:28" x14ac:dyDescent="0.25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 spans="1:28" x14ac:dyDescent="0.25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 spans="1:28" x14ac:dyDescent="0.25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 spans="1:28" x14ac:dyDescent="0.25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 spans="1:28" x14ac:dyDescent="0.25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 spans="1:28" x14ac:dyDescent="0.25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 spans="1:28" x14ac:dyDescent="0.25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 spans="1:28" x14ac:dyDescent="0.25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 spans="1:28" x14ac:dyDescent="0.25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 spans="1:28" x14ac:dyDescent="0.2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 spans="1:28" x14ac:dyDescent="0.25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 spans="1:28" x14ac:dyDescent="0.25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 spans="1:28" x14ac:dyDescent="0.25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 spans="1:28" x14ac:dyDescent="0.25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 spans="1:28" x14ac:dyDescent="0.25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 spans="1:28" x14ac:dyDescent="0.25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 spans="1:28" x14ac:dyDescent="0.25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 spans="1:28" x14ac:dyDescent="0.25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 spans="1:28" x14ac:dyDescent="0.25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 spans="1:28" x14ac:dyDescent="0.2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 spans="1:28" x14ac:dyDescent="0.25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 spans="1:28" x14ac:dyDescent="0.25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 spans="1:28" x14ac:dyDescent="0.25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 spans="1:28" x14ac:dyDescent="0.25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 spans="1:28" x14ac:dyDescent="0.25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 spans="1:28" x14ac:dyDescent="0.25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 spans="1:28" x14ac:dyDescent="0.25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 spans="1:28" x14ac:dyDescent="0.25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 spans="1:28" x14ac:dyDescent="0.25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 spans="1:28" x14ac:dyDescent="0.2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 spans="1:28" x14ac:dyDescent="0.25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 spans="1:28" x14ac:dyDescent="0.25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 spans="1:28" x14ac:dyDescent="0.25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 spans="1:28" x14ac:dyDescent="0.25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 spans="1:28" x14ac:dyDescent="0.25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 spans="1:28" x14ac:dyDescent="0.25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 spans="1:28" x14ac:dyDescent="0.25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 spans="1:28" x14ac:dyDescent="0.25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 spans="1:28" x14ac:dyDescent="0.25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 spans="1:28" x14ac:dyDescent="0.2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 spans="1:28" x14ac:dyDescent="0.25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 spans="1:28" x14ac:dyDescent="0.25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 spans="1:28" x14ac:dyDescent="0.25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 spans="1:28" x14ac:dyDescent="0.25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 spans="1:28" x14ac:dyDescent="0.25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 spans="1:28" x14ac:dyDescent="0.25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 spans="1:28" x14ac:dyDescent="0.25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 spans="1:28" x14ac:dyDescent="0.25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 spans="1:28" x14ac:dyDescent="0.25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 spans="1:28" x14ac:dyDescent="0.2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 spans="1:28" x14ac:dyDescent="0.25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 spans="1:28" x14ac:dyDescent="0.25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 spans="1:28" x14ac:dyDescent="0.25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 spans="1:28" x14ac:dyDescent="0.25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 spans="1:28" x14ac:dyDescent="0.25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 spans="1:28" x14ac:dyDescent="0.25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 spans="1:28" x14ac:dyDescent="0.25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 spans="1:28" x14ac:dyDescent="0.25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 spans="1:28" x14ac:dyDescent="0.25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 spans="1:28" x14ac:dyDescent="0.2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 spans="1:28" x14ac:dyDescent="0.25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 spans="1:28" x14ac:dyDescent="0.25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 spans="1:28" x14ac:dyDescent="0.25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 spans="1:28" x14ac:dyDescent="0.25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 spans="1:28" x14ac:dyDescent="0.25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 spans="1:28" x14ac:dyDescent="0.25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 spans="1:28" x14ac:dyDescent="0.25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 spans="1:28" x14ac:dyDescent="0.25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 spans="1:28" x14ac:dyDescent="0.25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 spans="1:28" x14ac:dyDescent="0.2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 spans="1:28" x14ac:dyDescent="0.25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 spans="1:28" x14ac:dyDescent="0.25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 spans="1:28" x14ac:dyDescent="0.25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 spans="1:28" x14ac:dyDescent="0.25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 spans="1:28" x14ac:dyDescent="0.25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 spans="1:28" x14ac:dyDescent="0.25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 spans="1:28" x14ac:dyDescent="0.25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 spans="1:28" x14ac:dyDescent="0.25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 spans="1:28" x14ac:dyDescent="0.25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 spans="1:28" x14ac:dyDescent="0.2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 spans="1:28" x14ac:dyDescent="0.25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 spans="1:28" x14ac:dyDescent="0.25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 spans="1:28" x14ac:dyDescent="0.25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 spans="1:28" x14ac:dyDescent="0.25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 spans="1:28" x14ac:dyDescent="0.25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 spans="1:28" x14ac:dyDescent="0.25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 spans="1:28" x14ac:dyDescent="0.25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 spans="1:28" x14ac:dyDescent="0.25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 spans="1:28" x14ac:dyDescent="0.25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 spans="1:28" x14ac:dyDescent="0.2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 spans="1:28" x14ac:dyDescent="0.25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 spans="1:28" x14ac:dyDescent="0.25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 spans="1:28" x14ac:dyDescent="0.25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 spans="1:28" x14ac:dyDescent="0.25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 spans="1:28" x14ac:dyDescent="0.25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 spans="1:28" x14ac:dyDescent="0.25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 spans="1:28" x14ac:dyDescent="0.25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 spans="1:28" x14ac:dyDescent="0.25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 spans="1:28" x14ac:dyDescent="0.25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 spans="1:28" x14ac:dyDescent="0.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 spans="1:28" x14ac:dyDescent="0.25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 spans="1:28" x14ac:dyDescent="0.25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 spans="1:28" x14ac:dyDescent="0.25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 spans="1:28" x14ac:dyDescent="0.25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 spans="1:28" x14ac:dyDescent="0.25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 spans="1:28" x14ac:dyDescent="0.25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 spans="1:28" x14ac:dyDescent="0.25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 spans="1:28" x14ac:dyDescent="0.25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 spans="1:28" x14ac:dyDescent="0.25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 spans="1:28" x14ac:dyDescent="0.2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 spans="1:28" x14ac:dyDescent="0.25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 spans="1:28" x14ac:dyDescent="0.25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 spans="1:28" x14ac:dyDescent="0.25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 spans="1:28" x14ac:dyDescent="0.25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 spans="1:28" x14ac:dyDescent="0.25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 spans="1:28" x14ac:dyDescent="0.25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 spans="1:28" x14ac:dyDescent="0.25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 spans="1:28" x14ac:dyDescent="0.25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 spans="1:28" x14ac:dyDescent="0.25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 spans="1:28" x14ac:dyDescent="0.2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 spans="1:28" x14ac:dyDescent="0.25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 spans="1:28" x14ac:dyDescent="0.25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 spans="1:28" x14ac:dyDescent="0.25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 spans="1:28" x14ac:dyDescent="0.25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 spans="1:28" x14ac:dyDescent="0.25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 spans="1:28" x14ac:dyDescent="0.25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 spans="1:28" x14ac:dyDescent="0.25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 spans="1:28" x14ac:dyDescent="0.25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 spans="1:28" x14ac:dyDescent="0.25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 spans="1:28" x14ac:dyDescent="0.2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 spans="1:28" x14ac:dyDescent="0.25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 spans="1:28" x14ac:dyDescent="0.25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 spans="1:28" x14ac:dyDescent="0.25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 spans="1:28" x14ac:dyDescent="0.25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 spans="1:28" x14ac:dyDescent="0.25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 spans="1:28" x14ac:dyDescent="0.25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 spans="1:28" x14ac:dyDescent="0.25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 spans="1:28" x14ac:dyDescent="0.25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 spans="1:28" x14ac:dyDescent="0.25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 spans="1:28" x14ac:dyDescent="0.2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 spans="1:28" x14ac:dyDescent="0.25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 spans="1:28" x14ac:dyDescent="0.25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 spans="1:28" x14ac:dyDescent="0.25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 spans="1:28" x14ac:dyDescent="0.25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 spans="1:28" x14ac:dyDescent="0.25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 spans="1:28" x14ac:dyDescent="0.25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 spans="1:28" x14ac:dyDescent="0.25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 spans="1:28" x14ac:dyDescent="0.25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 spans="1:28" x14ac:dyDescent="0.25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 spans="1:28" x14ac:dyDescent="0.2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 spans="1:28" x14ac:dyDescent="0.25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 spans="1:28" x14ac:dyDescent="0.25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 spans="1:28" x14ac:dyDescent="0.25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 spans="1:28" x14ac:dyDescent="0.25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 spans="1:28" x14ac:dyDescent="0.25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 spans="1:28" x14ac:dyDescent="0.25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 spans="1:28" x14ac:dyDescent="0.25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 spans="1:28" x14ac:dyDescent="0.25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 spans="1:28" x14ac:dyDescent="0.25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 spans="1:28" x14ac:dyDescent="0.2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 spans="1:28" x14ac:dyDescent="0.25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 spans="1:28" x14ac:dyDescent="0.25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 spans="1:28" x14ac:dyDescent="0.25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 spans="1:28" x14ac:dyDescent="0.25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 spans="1:28" x14ac:dyDescent="0.25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 spans="1:28" x14ac:dyDescent="0.25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 spans="1:28" x14ac:dyDescent="0.25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 spans="1:28" x14ac:dyDescent="0.25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 spans="1:28" x14ac:dyDescent="0.25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 spans="1:28" x14ac:dyDescent="0.2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 spans="1:28" x14ac:dyDescent="0.25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 spans="1:28" x14ac:dyDescent="0.25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 spans="1:28" x14ac:dyDescent="0.25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 spans="1:28" x14ac:dyDescent="0.25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 spans="1:28" x14ac:dyDescent="0.25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 spans="1:28" x14ac:dyDescent="0.25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 spans="1:28" x14ac:dyDescent="0.25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 spans="1:28" x14ac:dyDescent="0.25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 spans="1:28" x14ac:dyDescent="0.25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 spans="1:28" x14ac:dyDescent="0.2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 spans="1:28" x14ac:dyDescent="0.25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 spans="1:28" x14ac:dyDescent="0.25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 spans="1:28" x14ac:dyDescent="0.25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 spans="1:28" x14ac:dyDescent="0.25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 spans="1:28" x14ac:dyDescent="0.25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 spans="1:28" x14ac:dyDescent="0.25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 spans="1:28" x14ac:dyDescent="0.25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 spans="1:28" x14ac:dyDescent="0.25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 spans="1:28" x14ac:dyDescent="0.25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 spans="1:28" x14ac:dyDescent="0.2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 spans="1:28" x14ac:dyDescent="0.25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 spans="1:28" x14ac:dyDescent="0.25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 spans="1:28" x14ac:dyDescent="0.25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 spans="1:28" x14ac:dyDescent="0.25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 spans="1:28" x14ac:dyDescent="0.25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 spans="1:28" x14ac:dyDescent="0.25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 spans="1:28" x14ac:dyDescent="0.25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 spans="1:28" x14ac:dyDescent="0.25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 spans="1:28" x14ac:dyDescent="0.25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 spans="1:28" x14ac:dyDescent="0.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 spans="1:28" x14ac:dyDescent="0.25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 spans="1:28" x14ac:dyDescent="0.25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 spans="1:28" x14ac:dyDescent="0.25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 spans="1:28" x14ac:dyDescent="0.25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 spans="1:28" x14ac:dyDescent="0.25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 spans="1:28" x14ac:dyDescent="0.25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 spans="1:28" x14ac:dyDescent="0.25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 spans="1:28" x14ac:dyDescent="0.25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 spans="1:28" x14ac:dyDescent="0.25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 spans="1:28" x14ac:dyDescent="0.2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 spans="1:28" x14ac:dyDescent="0.25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 spans="1:28" x14ac:dyDescent="0.25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 spans="1:28" x14ac:dyDescent="0.25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 spans="1:28" x14ac:dyDescent="0.25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 spans="1:28" x14ac:dyDescent="0.25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 spans="1:28" x14ac:dyDescent="0.25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 spans="1:28" x14ac:dyDescent="0.25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 spans="1:28" x14ac:dyDescent="0.25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 spans="1:28" x14ac:dyDescent="0.25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 spans="1:28" x14ac:dyDescent="0.2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 spans="1:28" x14ac:dyDescent="0.25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 spans="1:28" x14ac:dyDescent="0.25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 spans="1:28" x14ac:dyDescent="0.25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 spans="1:28" x14ac:dyDescent="0.25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 spans="1:28" x14ac:dyDescent="0.25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 spans="1:28" x14ac:dyDescent="0.25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 spans="1:28" x14ac:dyDescent="0.25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 spans="1:28" x14ac:dyDescent="0.25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 spans="1:28" x14ac:dyDescent="0.25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 spans="1:28" x14ac:dyDescent="0.2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 spans="1:28" x14ac:dyDescent="0.25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 spans="1:28" x14ac:dyDescent="0.25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 spans="1:28" x14ac:dyDescent="0.25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 spans="1:28" x14ac:dyDescent="0.25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 spans="1:28" x14ac:dyDescent="0.25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 spans="1:28" x14ac:dyDescent="0.25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 spans="1:28" x14ac:dyDescent="0.25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 spans="1:28" x14ac:dyDescent="0.25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 spans="1:28" x14ac:dyDescent="0.25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 spans="1:28" x14ac:dyDescent="0.2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 spans="1:28" x14ac:dyDescent="0.25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 spans="1:28" x14ac:dyDescent="0.25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 spans="1:28" x14ac:dyDescent="0.25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 spans="1:28" x14ac:dyDescent="0.25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 spans="1:28" x14ac:dyDescent="0.25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 spans="1:28" x14ac:dyDescent="0.25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 spans="1:28" x14ac:dyDescent="0.25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 spans="1:28" x14ac:dyDescent="0.25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 spans="1:28" x14ac:dyDescent="0.25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 spans="1:28" x14ac:dyDescent="0.2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 spans="1:28" x14ac:dyDescent="0.25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 spans="1:28" x14ac:dyDescent="0.25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 spans="1:28" x14ac:dyDescent="0.25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 spans="1:28" x14ac:dyDescent="0.25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 spans="1:28" x14ac:dyDescent="0.25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 spans="1:28" x14ac:dyDescent="0.25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 spans="1:28" x14ac:dyDescent="0.25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 spans="1:28" x14ac:dyDescent="0.25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 spans="1:28" x14ac:dyDescent="0.25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 spans="1:28" x14ac:dyDescent="0.2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 spans="1:28" x14ac:dyDescent="0.25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 spans="1:28" x14ac:dyDescent="0.25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 spans="1:28" x14ac:dyDescent="0.25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 spans="1:28" x14ac:dyDescent="0.25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 spans="1:28" x14ac:dyDescent="0.25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 spans="1:28" x14ac:dyDescent="0.25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 spans="1:28" x14ac:dyDescent="0.25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 spans="1:28" x14ac:dyDescent="0.25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 spans="1:28" x14ac:dyDescent="0.25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 spans="1:28" x14ac:dyDescent="0.2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 spans="1:28" x14ac:dyDescent="0.25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 spans="1:28" x14ac:dyDescent="0.25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 spans="1:28" x14ac:dyDescent="0.25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 spans="1:28" x14ac:dyDescent="0.25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 spans="1:28" x14ac:dyDescent="0.25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 spans="1:28" x14ac:dyDescent="0.25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 spans="1:28" x14ac:dyDescent="0.25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 spans="1:28" x14ac:dyDescent="0.25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 spans="1:28" x14ac:dyDescent="0.25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 spans="1:28" x14ac:dyDescent="0.2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 spans="1:28" x14ac:dyDescent="0.25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 spans="1:28" x14ac:dyDescent="0.25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 spans="1:28" x14ac:dyDescent="0.25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 spans="1:28" x14ac:dyDescent="0.25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 spans="1:28" x14ac:dyDescent="0.25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 spans="1:28" x14ac:dyDescent="0.25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 spans="1:28" x14ac:dyDescent="0.25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 spans="1:28" x14ac:dyDescent="0.25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 spans="1:28" x14ac:dyDescent="0.25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 spans="1:28" x14ac:dyDescent="0.2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 spans="1:28" x14ac:dyDescent="0.25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 spans="1:28" x14ac:dyDescent="0.25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 spans="1:28" x14ac:dyDescent="0.25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 spans="1:28" x14ac:dyDescent="0.25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 spans="1:28" x14ac:dyDescent="0.25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 spans="1:28" x14ac:dyDescent="0.25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 spans="1:28" x14ac:dyDescent="0.25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 spans="1:28" x14ac:dyDescent="0.25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 spans="1:28" x14ac:dyDescent="0.25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 spans="1:28" x14ac:dyDescent="0.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 spans="1:28" x14ac:dyDescent="0.25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 spans="1:28" x14ac:dyDescent="0.25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 spans="1:28" x14ac:dyDescent="0.25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 spans="1:28" x14ac:dyDescent="0.25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 spans="1:28" x14ac:dyDescent="0.25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 spans="1:28" x14ac:dyDescent="0.25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 spans="1:28" x14ac:dyDescent="0.25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 spans="1:28" x14ac:dyDescent="0.25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 spans="1:28" x14ac:dyDescent="0.25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 spans="1:28" x14ac:dyDescent="0.2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 spans="1:28" x14ac:dyDescent="0.25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 spans="1:28" x14ac:dyDescent="0.25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 spans="1:28" x14ac:dyDescent="0.25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 spans="1:28" x14ac:dyDescent="0.25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 spans="1:28" x14ac:dyDescent="0.25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 spans="1:28" x14ac:dyDescent="0.25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 spans="1:28" x14ac:dyDescent="0.25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 spans="1:28" x14ac:dyDescent="0.25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 spans="1:28" x14ac:dyDescent="0.25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 spans="1:28" x14ac:dyDescent="0.2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 spans="1:28" x14ac:dyDescent="0.25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 spans="1:28" x14ac:dyDescent="0.25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 spans="1:28" x14ac:dyDescent="0.25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 spans="1:28" x14ac:dyDescent="0.25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 spans="1:28" x14ac:dyDescent="0.25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 spans="1:28" x14ac:dyDescent="0.25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 spans="1:28" x14ac:dyDescent="0.25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 spans="1:28" x14ac:dyDescent="0.25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 spans="1:28" x14ac:dyDescent="0.25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 spans="1:28" x14ac:dyDescent="0.2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</row>
    <row r="956" spans="1:28" x14ac:dyDescent="0.25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</row>
    <row r="957" spans="1:28" x14ac:dyDescent="0.25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</row>
    <row r="958" spans="1:28" x14ac:dyDescent="0.25">
      <c r="A958" s="77"/>
      <c r="B958" s="77"/>
      <c r="C958" s="77"/>
      <c r="D958" s="77"/>
      <c r="E958" s="77"/>
      <c r="F958" s="77"/>
      <c r="G958" s="77"/>
      <c r="H958" s="77"/>
      <c r="I958" s="77"/>
    </row>
    <row r="959" spans="1:28" x14ac:dyDescent="0.25">
      <c r="A959" s="77"/>
      <c r="B959" s="77"/>
      <c r="C959" s="77"/>
      <c r="D959" s="77"/>
      <c r="E959" s="77"/>
      <c r="F959" s="77"/>
      <c r="G959" s="77"/>
      <c r="H959" s="77"/>
      <c r="I959" s="77"/>
    </row>
    <row r="960" spans="1:28" x14ac:dyDescent="0.25">
      <c r="A960" s="77"/>
      <c r="B960" s="77"/>
      <c r="C960" s="77"/>
      <c r="D960" s="77"/>
      <c r="E960" s="77"/>
      <c r="F960" s="77"/>
      <c r="G960" s="77"/>
      <c r="H960" s="77"/>
      <c r="I960" s="77"/>
    </row>
    <row r="961" spans="1:9" x14ac:dyDescent="0.25">
      <c r="A961" s="77"/>
      <c r="B961" s="77"/>
      <c r="C961" s="77"/>
      <c r="D961" s="77"/>
      <c r="E961" s="77"/>
      <c r="F961" s="77"/>
      <c r="G961" s="77"/>
      <c r="H961" s="77"/>
      <c r="I961" s="77"/>
    </row>
    <row r="962" spans="1:9" x14ac:dyDescent="0.25">
      <c r="A962" s="77"/>
      <c r="B962" s="77"/>
      <c r="C962" s="77"/>
      <c r="D962" s="77"/>
      <c r="E962" s="77"/>
      <c r="F962" s="77"/>
      <c r="G962" s="77"/>
      <c r="H962" s="77"/>
      <c r="I962" s="77"/>
    </row>
    <row r="963" spans="1:9" x14ac:dyDescent="0.25">
      <c r="A963" s="77"/>
      <c r="B963" s="77"/>
      <c r="C963" s="77"/>
      <c r="D963" s="77"/>
      <c r="E963" s="77"/>
      <c r="F963" s="77"/>
      <c r="G963" s="77"/>
      <c r="H963" s="77"/>
      <c r="I963" s="77"/>
    </row>
    <row r="964" spans="1:9" x14ac:dyDescent="0.25">
      <c r="A964" s="77"/>
      <c r="B964" s="77"/>
      <c r="C964" s="77"/>
      <c r="D964" s="77"/>
      <c r="E964" s="77"/>
      <c r="F964" s="77"/>
      <c r="G964" s="77"/>
      <c r="H964" s="77"/>
      <c r="I964" s="77"/>
    </row>
    <row r="965" spans="1:9" x14ac:dyDescent="0.25">
      <c r="A965" s="77"/>
      <c r="B965" s="77"/>
      <c r="C965" s="77"/>
      <c r="D965" s="77"/>
      <c r="E965" s="77"/>
      <c r="F965" s="77"/>
      <c r="G965" s="77"/>
      <c r="H965" s="77"/>
      <c r="I965" s="77"/>
    </row>
    <row r="966" spans="1:9" x14ac:dyDescent="0.25">
      <c r="A966" s="77"/>
      <c r="B966" s="77"/>
      <c r="C966" s="77"/>
      <c r="D966" s="77"/>
      <c r="E966" s="77"/>
      <c r="F966" s="77"/>
      <c r="G966" s="77"/>
      <c r="H966" s="77"/>
      <c r="I966" s="77"/>
    </row>
    <row r="967" spans="1:9" x14ac:dyDescent="0.25">
      <c r="A967" s="77"/>
      <c r="B967" s="77"/>
      <c r="C967" s="77"/>
      <c r="D967" s="77"/>
      <c r="E967" s="77"/>
      <c r="F967" s="77"/>
      <c r="G967" s="77"/>
      <c r="H967" s="77"/>
      <c r="I967" s="77"/>
    </row>
    <row r="968" spans="1:9" x14ac:dyDescent="0.25">
      <c r="A968" s="77"/>
      <c r="B968" s="77"/>
      <c r="C968" s="77"/>
      <c r="D968" s="77"/>
      <c r="E968" s="77"/>
      <c r="F968" s="77"/>
      <c r="G968" s="77"/>
      <c r="H968" s="77"/>
      <c r="I968" s="77"/>
    </row>
  </sheetData>
  <mergeCells count="1">
    <mergeCell ref="B2:I2"/>
  </mergeCells>
  <phoneticPr fontId="18" type="noConversion"/>
  <dataValidations count="1">
    <dataValidation type="list" allowBlank="1" showInputMessage="1" showErrorMessage="1" sqref="H11:H27" xr:uid="{69A93DE2-5EEC-4999-B611-501A16A12836}">
      <formula1>"'Pass,'Fail,'Untest,'N/A"</formula1>
    </dataValidation>
  </dataValidations>
  <hyperlinks>
    <hyperlink ref="B4" location="null!A1" display="Back to TestReport" xr:uid="{DBE122A2-F1A2-435C-A1BE-3703FA448B16}"/>
    <hyperlink ref="E23" r:id="rId1" display="mailto:valid@test.com" xr:uid="{C267FCEC-3C3B-4C16-88D2-94CAB931530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71C4-4551-4AC1-80BC-DEC27B5E536A}">
  <dimension ref="A1:AA1002"/>
  <sheetViews>
    <sheetView workbookViewId="0">
      <selection activeCell="H24" sqref="H24"/>
    </sheetView>
  </sheetViews>
  <sheetFormatPr defaultColWidth="14.42578125" defaultRowHeight="15" x14ac:dyDescent="0.25"/>
  <cols>
    <col min="1" max="1" width="10.28515625" style="80" customWidth="1"/>
    <col min="2" max="2" width="15.42578125" style="80" customWidth="1"/>
    <col min="3" max="3" width="30.140625" style="80" bestFit="1" customWidth="1"/>
    <col min="4" max="6" width="10.28515625" style="80" customWidth="1"/>
    <col min="7" max="7" width="12.7109375" style="80" customWidth="1"/>
    <col min="8" max="8" width="18.7109375" style="80" customWidth="1"/>
    <col min="9" max="10" width="37.85546875" style="80" customWidth="1"/>
    <col min="11" max="19" width="10.28515625" style="80" customWidth="1"/>
    <col min="20" max="27" width="9.140625" style="80" customWidth="1"/>
    <col min="28" max="16384" width="14.42578125" style="80"/>
  </cols>
  <sheetData>
    <row r="1" spans="1:27" ht="25.5" customHeight="1" x14ac:dyDescent="0.25">
      <c r="A1" s="8"/>
      <c r="B1" s="112" t="s">
        <v>91</v>
      </c>
      <c r="C1" s="134"/>
      <c r="D1" s="134"/>
      <c r="E1" s="134"/>
      <c r="F1" s="134"/>
      <c r="G1" s="134"/>
      <c r="H1" s="134"/>
      <c r="I1" s="134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4.25" customHeight="1" x14ac:dyDescent="0.25">
      <c r="A2" s="81"/>
      <c r="B2" s="81"/>
      <c r="C2" s="8"/>
      <c r="D2" s="8"/>
      <c r="E2" s="8"/>
      <c r="F2" s="8"/>
      <c r="G2" s="8"/>
      <c r="H2" s="8"/>
      <c r="I2" s="8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2" customHeight="1" x14ac:dyDescent="0.25">
      <c r="A3" s="8"/>
      <c r="B3" s="78" t="s">
        <v>1</v>
      </c>
      <c r="C3" s="135" t="str">
        <f>Cover!C4</f>
        <v>Hybrid framework</v>
      </c>
      <c r="D3" s="133"/>
      <c r="E3" s="136" t="s">
        <v>17</v>
      </c>
      <c r="F3" s="132"/>
      <c r="G3" s="133"/>
      <c r="H3" s="83" t="str">
        <f>[1]Cover!G4</f>
        <v>ThanhVu</v>
      </c>
      <c r="I3" s="8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" customHeight="1" x14ac:dyDescent="0.25">
      <c r="A4" s="8"/>
      <c r="B4" s="78" t="s">
        <v>2</v>
      </c>
      <c r="C4" s="135" t="str">
        <f>Cover!C5</f>
        <v>DA4</v>
      </c>
      <c r="D4" s="133"/>
      <c r="E4" s="136" t="s">
        <v>19</v>
      </c>
      <c r="F4" s="132"/>
      <c r="G4" s="133"/>
      <c r="H4" s="83"/>
      <c r="I4" s="8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2" customHeight="1" x14ac:dyDescent="0.25">
      <c r="A5" s="8"/>
      <c r="B5" s="79" t="s">
        <v>20</v>
      </c>
      <c r="C5" s="135" t="str">
        <f>C4&amp;"_"&amp;"Test Report"&amp;"_"&amp;"vx.x"</f>
        <v>DA4_Test Report_vx.x</v>
      </c>
      <c r="D5" s="133"/>
      <c r="E5" s="136" t="s">
        <v>21</v>
      </c>
      <c r="F5" s="132"/>
      <c r="G5" s="133"/>
      <c r="H5" s="83"/>
      <c r="I5" s="85" t="s">
        <v>483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21.75" customHeight="1" x14ac:dyDescent="0.25">
      <c r="A6" s="81"/>
      <c r="B6" s="79" t="s">
        <v>92</v>
      </c>
      <c r="C6" s="131"/>
      <c r="D6" s="132"/>
      <c r="E6" s="132"/>
      <c r="F6" s="132"/>
      <c r="G6" s="132"/>
      <c r="H6" s="132"/>
      <c r="I6" s="133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4.25" customHeight="1" x14ac:dyDescent="0.25">
      <c r="A7" s="81"/>
      <c r="B7" s="86"/>
      <c r="C7" s="87"/>
      <c r="D7" s="8"/>
      <c r="E7" s="8"/>
      <c r="F7" s="8"/>
      <c r="G7" s="8"/>
      <c r="H7" s="8"/>
      <c r="I7" s="8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2.75" customHeight="1" x14ac:dyDescent="0.25">
      <c r="A8" s="8"/>
      <c r="B8" s="86"/>
      <c r="C8" s="87"/>
      <c r="D8" s="8"/>
      <c r="E8" s="8"/>
      <c r="F8" s="8"/>
      <c r="G8" s="8"/>
      <c r="H8" s="8"/>
      <c r="I8" s="8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2.7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25.5" customHeight="1" x14ac:dyDescent="0.25">
      <c r="A10" s="8"/>
      <c r="B10" s="88" t="s">
        <v>4</v>
      </c>
      <c r="C10" s="88" t="s">
        <v>93</v>
      </c>
      <c r="D10" s="89" t="s">
        <v>94</v>
      </c>
      <c r="E10" s="88" t="s">
        <v>95</v>
      </c>
      <c r="F10" s="88" t="s">
        <v>30</v>
      </c>
      <c r="G10" s="88" t="s">
        <v>96</v>
      </c>
      <c r="H10" s="89" t="s">
        <v>97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2.75" customHeight="1" x14ac:dyDescent="0.25">
      <c r="A11" s="8"/>
      <c r="B11" s="90">
        <v>1</v>
      </c>
      <c r="C11" s="91" t="s">
        <v>102</v>
      </c>
      <c r="D11" s="90">
        <f>'1. Login'!H5</f>
        <v>0</v>
      </c>
      <c r="E11" s="90">
        <f>'1. Login'!H6</f>
        <v>0</v>
      </c>
      <c r="F11" s="90">
        <f>'1. Login'!H7</f>
        <v>0</v>
      </c>
      <c r="G11" s="90">
        <f>'1. Login'!H8</f>
        <v>0</v>
      </c>
      <c r="H11" s="90">
        <f>'1. Login'!H4</f>
        <v>14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2.75" customHeight="1" x14ac:dyDescent="0.25">
      <c r="A12" s="8"/>
      <c r="B12" s="90">
        <v>2</v>
      </c>
      <c r="C12" s="91" t="s">
        <v>103</v>
      </c>
      <c r="D12" s="90">
        <f>'2. Register'!H5</f>
        <v>0</v>
      </c>
      <c r="E12" s="90">
        <f>'2. Register'!H6</f>
        <v>0</v>
      </c>
      <c r="F12" s="90">
        <f>'2. Register'!H7</f>
        <v>0</v>
      </c>
      <c r="G12" s="90">
        <f>'2. Register'!H8</f>
        <v>0</v>
      </c>
      <c r="H12" s="90">
        <f>'2. Register'!H4</f>
        <v>13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customHeight="1" x14ac:dyDescent="0.25">
      <c r="A13" s="8"/>
      <c r="B13" s="90">
        <v>3</v>
      </c>
      <c r="C13" s="91" t="s">
        <v>104</v>
      </c>
      <c r="D13" s="90">
        <f>'3. Search'!H5</f>
        <v>0</v>
      </c>
      <c r="E13" s="90">
        <f>'3. Search'!H6</f>
        <v>0</v>
      </c>
      <c r="F13" s="90">
        <f>'3. Search'!H7</f>
        <v>0</v>
      </c>
      <c r="G13" s="90">
        <f>'3. Search'!H8</f>
        <v>0</v>
      </c>
      <c r="H13" s="90">
        <f>'3. Search'!H4</f>
        <v>18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customHeight="1" x14ac:dyDescent="0.25">
      <c r="A14" s="8"/>
      <c r="B14" s="90">
        <v>4</v>
      </c>
      <c r="C14" s="91" t="s">
        <v>105</v>
      </c>
      <c r="D14" s="90">
        <f>'4. Shopping Cart '!H5</f>
        <v>0</v>
      </c>
      <c r="E14" s="90">
        <f>'4. Shopping Cart '!H6</f>
        <v>0</v>
      </c>
      <c r="F14" s="90">
        <f>'4. Shopping Cart '!H7</f>
        <v>0</v>
      </c>
      <c r="G14" s="90">
        <f>'4. Shopping Cart '!H8</f>
        <v>0</v>
      </c>
      <c r="H14" s="90">
        <f>'4. Shopping Cart '!H4</f>
        <v>13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customHeight="1" x14ac:dyDescent="0.25">
      <c r="A15" s="8"/>
      <c r="B15" s="90">
        <v>5</v>
      </c>
      <c r="C15" s="91" t="s">
        <v>106</v>
      </c>
      <c r="D15" s="90">
        <f>'5. Form Validation'!H5</f>
        <v>0</v>
      </c>
      <c r="E15" s="90">
        <f>'5. Form Validation'!H6</f>
        <v>0</v>
      </c>
      <c r="F15" s="90">
        <f>'5. Form Validation'!H7</f>
        <v>0</v>
      </c>
      <c r="G15" s="90">
        <f>'5. Form Validation'!H8</f>
        <v>0</v>
      </c>
      <c r="H15" s="90">
        <f>'5. Form Validation'!H4</f>
        <v>17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2.75" customHeight="1" x14ac:dyDescent="0.25">
      <c r="A16" s="8"/>
      <c r="B16" s="90"/>
      <c r="C16" s="92"/>
      <c r="D16" s="90"/>
      <c r="E16" s="90"/>
      <c r="F16" s="90"/>
      <c r="G16" s="90"/>
      <c r="H16" s="90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2.75" customHeight="1" x14ac:dyDescent="0.25">
      <c r="A17" s="8"/>
      <c r="B17" s="93"/>
      <c r="C17" s="94" t="s">
        <v>98</v>
      </c>
      <c r="D17" s="93">
        <f>SUM(D11:D15)</f>
        <v>0</v>
      </c>
      <c r="E17" s="93">
        <f>SUM(E11:E15)</f>
        <v>0</v>
      </c>
      <c r="F17" s="93">
        <f>SUM(F11:F15)</f>
        <v>0</v>
      </c>
      <c r="G17" s="93">
        <f>SUM(G11:G15)</f>
        <v>0</v>
      </c>
      <c r="H17" s="93">
        <f>SUM(H11:H15)</f>
        <v>75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customHeight="1" x14ac:dyDescent="0.25">
      <c r="A18" s="8"/>
      <c r="B18" s="95"/>
      <c r="C18" s="8"/>
      <c r="D18" s="96"/>
      <c r="E18" s="97"/>
      <c r="F18" s="97"/>
      <c r="G18" s="97"/>
      <c r="H18" s="97"/>
      <c r="I18" s="9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customHeight="1" x14ac:dyDescent="0.25">
      <c r="A19" s="8"/>
      <c r="B19" s="8"/>
      <c r="C19" s="98" t="s">
        <v>99</v>
      </c>
      <c r="D19" s="99">
        <f>ROUND((D17+E17)*100/H17,2)</f>
        <v>0</v>
      </c>
      <c r="E19" s="8" t="s">
        <v>100</v>
      </c>
      <c r="F19" s="8"/>
      <c r="G19" s="8"/>
      <c r="H19" s="8"/>
      <c r="I19" s="100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customHeight="1" x14ac:dyDescent="0.25">
      <c r="A20" s="8"/>
      <c r="B20" s="8"/>
      <c r="C20" s="98" t="s">
        <v>101</v>
      </c>
      <c r="D20" s="101" t="e">
        <f>D17*100/(D17+E17)</f>
        <v>#DIV/0!</v>
      </c>
      <c r="E20" s="8" t="s">
        <v>100</v>
      </c>
      <c r="F20" s="8"/>
      <c r="G20" s="8"/>
      <c r="H20" s="8"/>
      <c r="I20" s="100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2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spans="1:27" ht="15.75" customHeight="1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spans="1:27" ht="15.75" customHeight="1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spans="1:27" ht="15.75" customHeight="1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spans="1:27" ht="15.75" customHeight="1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spans="1:27" ht="15.75" customHeight="1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spans="1:27" ht="15.75" customHeight="1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spans="1:27" ht="15.75" customHeight="1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spans="1:27" ht="15.75" customHeight="1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spans="1:27" ht="15.75" customHeight="1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spans="1:27" ht="15.75" customHeight="1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spans="1:27" ht="15.75" customHeight="1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spans="1:27" ht="15.75" customHeight="1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spans="1:27" ht="15.75" customHeight="1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spans="1:27" ht="15.75" customHeight="1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spans="1:27" ht="15.75" customHeight="1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spans="1:27" ht="15.75" customHeight="1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spans="1:27" ht="15.75" customHeight="1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spans="1:27" ht="15.75" customHeight="1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spans="1:27" ht="15.75" customHeight="1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spans="1:27" ht="15.75" customHeight="1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spans="1:27" ht="15.75" customHeight="1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spans="1:27" ht="15.75" customHeight="1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spans="1:27" ht="15.75" customHeight="1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spans="1:27" ht="15.75" customHeight="1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spans="1:27" ht="15.75" customHeight="1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spans="1:27" ht="15.75" customHeight="1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spans="1:27" ht="15.75" customHeight="1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spans="1:27" ht="15.75" customHeight="1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spans="1:27" ht="15.75" customHeight="1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spans="1:27" ht="15.75" customHeight="1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spans="1:27" ht="15.75" customHeight="1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spans="1:27" ht="15.75" customHeight="1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spans="1:27" ht="15.75" customHeight="1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spans="1:27" ht="15.75" customHeight="1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spans="1:27" ht="15.75" customHeight="1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spans="1:27" ht="15.75" customHeight="1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spans="1:27" ht="15.75" customHeight="1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spans="1:27" ht="15.75" customHeight="1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spans="1:27" ht="15.75" customHeight="1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spans="1:27" ht="15.75" customHeight="1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spans="1:27" ht="15.75" customHeight="1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spans="1:27" ht="15.75" customHeight="1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spans="1:27" ht="15.75" customHeight="1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spans="1:27" ht="15.75" customHeight="1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spans="1:27" ht="15.75" customHeight="1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spans="1:27" ht="15.75" customHeight="1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spans="1:27" ht="15.75" customHeight="1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spans="1:27" ht="15.75" customHeight="1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spans="1:27" ht="15.75" customHeight="1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spans="1:27" ht="15.75" customHeight="1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spans="1:27" ht="15.75" customHeight="1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spans="1:27" ht="15.75" customHeight="1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spans="1:27" ht="15.75" customHeight="1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spans="1:27" ht="15.75" customHeight="1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spans="1:27" ht="15.75" customHeight="1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spans="1:27" ht="15.75" customHeight="1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spans="1:27" ht="15.75" customHeight="1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spans="1:27" ht="15.75" customHeight="1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spans="1:27" ht="15.75" customHeight="1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spans="1:27" ht="15.75" customHeight="1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spans="1:27" ht="15.75" customHeight="1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spans="1:27" ht="15.75" customHeight="1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spans="1:27" ht="15.75" customHeight="1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spans="1:27" ht="15.75" customHeight="1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spans="1:27" ht="15.75" customHeight="1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spans="1:27" ht="15.75" customHeight="1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spans="1:27" ht="15.75" customHeight="1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spans="1:27" ht="15.75" customHeight="1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spans="1:27" ht="15.75" customHeight="1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spans="1:27" ht="15.75" customHeight="1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spans="1:27" ht="15.75" customHeight="1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spans="1:27" ht="15.75" customHeight="1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spans="1:27" ht="15.75" customHeight="1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spans="1:27" ht="15.75" customHeight="1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spans="1:27" ht="15.75" customHeight="1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spans="1:27" ht="15.75" customHeight="1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spans="1:27" ht="15.75" customHeight="1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spans="1:27" ht="15.75" customHeight="1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spans="1:27" ht="15.75" customHeight="1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spans="1:27" ht="15.75" customHeight="1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spans="1:27" ht="15.75" customHeight="1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spans="1:27" ht="15.75" customHeight="1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spans="1:27" ht="15.75" customHeight="1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spans="1:27" ht="15.75" customHeight="1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spans="1:27" ht="15.75" customHeight="1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spans="1:27" ht="15.75" customHeight="1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spans="1:27" ht="15.75" customHeight="1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spans="1:27" ht="15.75" customHeight="1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spans="1:27" ht="15.75" customHeight="1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spans="1:27" ht="15.75" customHeight="1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spans="1:27" ht="15.75" customHeight="1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spans="1:27" ht="15.75" customHeight="1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spans="1:27" ht="15.75" customHeight="1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spans="1:27" ht="15.75" customHeight="1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spans="1:27" ht="15.75" customHeight="1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spans="1:27" ht="15.75" customHeight="1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spans="1:27" ht="15.75" customHeight="1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spans="1:27" ht="15.75" customHeight="1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spans="1:27" ht="15.75" customHeight="1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spans="1:27" ht="15.75" customHeight="1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spans="1:27" ht="15.75" customHeight="1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spans="1:27" ht="15.75" customHeight="1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spans="1:27" ht="15.75" customHeight="1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spans="1:27" ht="15.75" customHeight="1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spans="1:27" ht="15.75" customHeight="1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spans="1:27" ht="15.75" customHeight="1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spans="1:27" ht="15.75" customHeight="1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spans="1:27" ht="15.75" customHeight="1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spans="1:27" ht="15.75" customHeight="1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spans="1:27" ht="15.75" customHeight="1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spans="1:27" ht="15.75" customHeight="1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spans="1:27" ht="15.75" customHeight="1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spans="1:27" ht="15.75" customHeight="1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spans="1:27" ht="15.75" customHeight="1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spans="1:27" ht="15.75" customHeight="1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spans="1:27" ht="15.75" customHeight="1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spans="1:27" ht="15.75" customHeight="1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spans="1:27" ht="15.75" customHeight="1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spans="1:27" ht="15.75" customHeight="1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spans="1:27" ht="15.75" customHeight="1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spans="1:27" ht="15.75" customHeight="1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spans="1:27" ht="15.75" customHeight="1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spans="1:27" ht="15.75" customHeight="1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spans="1:27" ht="15.75" customHeight="1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spans="1:27" ht="15.75" customHeight="1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spans="1:27" ht="15.75" customHeight="1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spans="1:27" ht="15.75" customHeight="1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spans="1:27" ht="15.75" customHeight="1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spans="1:27" ht="15.75" customHeight="1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spans="1:27" ht="15.75" customHeight="1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spans="1:27" ht="15.75" customHeight="1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spans="1:27" ht="15.75" customHeight="1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spans="1:27" ht="15.75" customHeight="1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spans="1:27" ht="15.75" customHeight="1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spans="1:27" ht="15.75" customHeight="1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spans="1:27" ht="15.75" customHeight="1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spans="1:27" ht="15.75" customHeight="1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spans="1:27" ht="15.75" customHeight="1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spans="1:27" ht="15.75" customHeight="1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spans="1:27" ht="15.75" customHeight="1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spans="1:27" ht="15.75" customHeight="1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spans="1:27" ht="15.75" customHeight="1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spans="1:27" ht="15.75" customHeight="1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spans="1:27" ht="15.75" customHeight="1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spans="1:27" ht="15.75" customHeight="1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spans="1:27" ht="15.75" customHeight="1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spans="1:27" ht="15.75" customHeight="1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spans="1:27" ht="15.75" customHeight="1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spans="1:27" ht="15.75" customHeight="1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spans="1:27" ht="15.75" customHeight="1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spans="1:27" ht="15.75" customHeight="1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spans="1:27" ht="15.75" customHeight="1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spans="1:27" ht="15.75" customHeight="1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spans="1:27" ht="15.75" customHeight="1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spans="1:27" ht="15.75" customHeight="1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spans="1:27" ht="15.75" customHeight="1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spans="1:27" ht="15.75" customHeight="1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spans="1:27" ht="15.75" customHeight="1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spans="1:27" ht="15.75" customHeight="1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spans="1:27" ht="15.75" customHeight="1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spans="1:27" ht="15.75" customHeight="1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spans="1:27" ht="15.75" customHeight="1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spans="1:27" ht="15.75" customHeight="1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spans="1:27" ht="15.75" customHeight="1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spans="1:27" ht="15.75" customHeight="1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spans="1:27" ht="15.75" customHeight="1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spans="1:27" ht="15.75" customHeight="1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spans="1:27" ht="15.75" customHeight="1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spans="1:27" ht="15.75" customHeight="1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spans="1:27" ht="15.75" customHeight="1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spans="1:27" ht="15.75" customHeight="1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spans="1:27" ht="15.75" customHeight="1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spans="1:27" ht="15.75" customHeight="1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spans="1:27" ht="15.75" customHeight="1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spans="1:27" ht="15.75" customHeight="1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spans="1:27" ht="15.75" customHeight="1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spans="1:27" ht="15.75" customHeight="1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spans="1:27" ht="15.75" customHeight="1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spans="1:27" ht="15.75" customHeight="1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spans="1:27" ht="15.75" customHeight="1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spans="1:27" ht="15.75" customHeight="1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spans="1:27" ht="15.75" customHeight="1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spans="1:27" ht="15.75" customHeight="1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spans="1:27" ht="15.75" customHeight="1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spans="1:27" ht="15.75" customHeight="1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spans="1:27" ht="15.75" customHeight="1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spans="1:27" ht="15.75" customHeight="1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spans="1:27" ht="15.75" customHeight="1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spans="1:27" ht="15.75" customHeight="1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spans="1:27" ht="15.75" customHeight="1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spans="1:27" ht="15.75" customHeight="1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spans="1:27" ht="15.75" customHeight="1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spans="1:27" ht="15.75" customHeight="1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spans="1:27" ht="15.75" customHeight="1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spans="1:27" ht="15.75" customHeight="1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spans="1:27" ht="15.75" customHeight="1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spans="1:27" ht="15.75" customHeight="1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spans="1:27" ht="15.75" customHeight="1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spans="1:27" ht="15.75" customHeight="1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spans="1:27" ht="15.75" customHeight="1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spans="1:27" ht="15.75" customHeight="1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spans="1:27" ht="15.75" customHeight="1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spans="1:27" ht="15.75" customHeight="1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spans="1:27" ht="15.75" customHeight="1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spans="1:27" ht="15.75" customHeight="1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spans="1:27" ht="15.75" customHeight="1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spans="1:27" ht="15.75" customHeight="1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spans="1:27" ht="15.75" customHeight="1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spans="1:27" ht="15.75" customHeight="1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spans="1:27" ht="15.75" customHeight="1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spans="1:27" ht="15.75" customHeight="1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spans="1:27" ht="15.75" customHeight="1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spans="1:27" ht="15.75" customHeight="1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spans="1:27" ht="15.75" customHeight="1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spans="1:27" ht="15.75" customHeight="1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spans="1:27" ht="15.75" customHeight="1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spans="1:27" ht="15.75" customHeight="1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spans="1:27" ht="15.75" customHeight="1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spans="1:27" ht="15.75" customHeight="1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spans="1:27" ht="15.75" customHeight="1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spans="1:27" ht="15.75" customHeight="1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spans="1:27" ht="15.75" customHeight="1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spans="1:27" ht="15.75" customHeight="1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spans="1:27" ht="15.75" customHeight="1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spans="1:27" ht="15.75" customHeight="1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spans="1:27" ht="15.75" customHeight="1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spans="1:27" ht="15.75" customHeight="1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spans="1:27" ht="15.75" customHeight="1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spans="1:27" ht="15.75" customHeight="1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spans="1:27" ht="15.75" customHeight="1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spans="1:27" ht="15.75" customHeight="1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spans="1:27" ht="15.75" customHeight="1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spans="1:27" ht="15.75" customHeight="1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spans="1:27" ht="15.75" customHeight="1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spans="1:27" ht="15.75" customHeight="1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spans="1:27" ht="15.75" customHeight="1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spans="1:27" ht="15.75" customHeight="1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spans="1:27" ht="15.75" customHeight="1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spans="1:27" ht="15.75" customHeight="1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spans="1:27" ht="15.75" customHeight="1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spans="1:27" ht="15.75" customHeight="1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spans="1:27" ht="15.75" customHeight="1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spans="1:27" ht="15.75" customHeight="1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spans="1:27" ht="15.75" customHeight="1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spans="1:27" ht="15.75" customHeight="1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spans="1:27" ht="15.75" customHeight="1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spans="1:27" ht="15.75" customHeight="1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spans="1:27" ht="15.75" customHeight="1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spans="1:27" ht="15.75" customHeight="1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spans="1:27" ht="15.75" customHeight="1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spans="1:27" ht="15.75" customHeight="1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spans="1:27" ht="15.75" customHeight="1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spans="1:27" ht="15.75" customHeight="1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spans="1:27" ht="15.75" customHeight="1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spans="1:27" ht="15.75" customHeight="1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spans="1:27" ht="15.75" customHeight="1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spans="1:27" ht="15.75" customHeight="1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spans="1:27" ht="15.75" customHeight="1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spans="1:27" ht="15.75" customHeight="1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spans="1:27" ht="15.75" customHeight="1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spans="1:27" ht="15.75" customHeight="1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spans="1:27" ht="15.75" customHeight="1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spans="1:27" ht="15.75" customHeight="1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spans="1:27" ht="15.75" customHeight="1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spans="1:27" ht="15.75" customHeight="1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spans="1:27" ht="15.75" customHeight="1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spans="1:27" ht="15.75" customHeight="1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spans="1:27" ht="15.75" customHeight="1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spans="1:27" ht="15.75" customHeight="1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spans="1:27" ht="15.75" customHeight="1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spans="1:27" ht="15.75" customHeight="1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spans="1:27" ht="15.75" customHeight="1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spans="1:27" ht="15.75" customHeight="1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spans="1:27" ht="15.75" customHeight="1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spans="1:27" ht="15.75" customHeight="1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spans="1:27" ht="15.75" customHeight="1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spans="1:27" ht="15.75" customHeight="1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spans="1:27" ht="15.75" customHeight="1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spans="1:27" ht="15.75" customHeight="1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spans="1:27" ht="15.75" customHeight="1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spans="1:27" ht="15.75" customHeight="1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spans="1:27" ht="15.75" customHeight="1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spans="1:27" ht="15.75" customHeight="1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spans="1:27" ht="15.75" customHeight="1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spans="1:27" ht="15.75" customHeight="1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spans="1:27" ht="15.75" customHeight="1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spans="1:27" ht="15.75" customHeight="1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spans="1:27" ht="15.75" customHeight="1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spans="1:27" ht="15.75" customHeight="1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spans="1:27" ht="15.75" customHeight="1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spans="1:27" ht="15.75" customHeight="1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spans="1:27" ht="15.75" customHeight="1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spans="1:27" ht="15.75" customHeight="1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spans="1:27" ht="15.75" customHeight="1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spans="1:27" ht="15.75" customHeight="1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spans="1:27" ht="15.75" customHeight="1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spans="1:27" ht="15.75" customHeight="1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spans="1:27" ht="15.75" customHeight="1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spans="1:27" ht="15.75" customHeight="1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spans="1:27" ht="15.75" customHeight="1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spans="1:27" ht="15.75" customHeight="1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spans="1:27" ht="15.75" customHeight="1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spans="1:27" ht="15.75" customHeight="1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spans="1:27" ht="15.75" customHeight="1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spans="1:27" ht="15.75" customHeight="1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spans="1:27" ht="15.75" customHeight="1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spans="1:27" ht="15.75" customHeight="1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spans="1:27" ht="15.75" customHeight="1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spans="1:27" ht="15.75" customHeight="1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spans="1:27" ht="15.75" customHeight="1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spans="1:27" ht="15.75" customHeight="1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spans="1:27" ht="15.75" customHeight="1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spans="1:27" ht="15.75" customHeight="1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spans="1:27" ht="15.75" customHeight="1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spans="1:27" ht="15.75" customHeight="1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spans="1:27" ht="15.75" customHeight="1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spans="1:27" ht="15.75" customHeight="1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spans="1:27" ht="15.75" customHeight="1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spans="1:27" ht="15.75" customHeight="1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spans="1:27" ht="15.75" customHeight="1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spans="1:27" ht="15.75" customHeight="1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spans="1:27" ht="15.75" customHeight="1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spans="1:27" ht="15.75" customHeight="1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spans="1:27" ht="15.75" customHeight="1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spans="1:27" ht="15.75" customHeight="1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spans="1:27" ht="15.75" customHeight="1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spans="1:27" ht="15.75" customHeight="1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spans="1:27" ht="15.75" customHeight="1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spans="1:27" ht="15.75" customHeight="1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spans="1:27" ht="15.75" customHeight="1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spans="1:27" ht="15.75" customHeight="1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spans="1:27" ht="15.75" customHeight="1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spans="1:27" ht="15.75" customHeight="1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spans="1:27" ht="15.75" customHeight="1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spans="1:27" ht="15.75" customHeight="1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spans="1:27" ht="15.75" customHeight="1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spans="1:27" ht="15.75" customHeight="1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spans="1:27" ht="15.75" customHeight="1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spans="1:27" ht="15.75" customHeight="1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spans="1:27" ht="15.75" customHeight="1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spans="1:27" ht="15.75" customHeight="1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spans="1:27" ht="15.75" customHeight="1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spans="1:27" ht="15.75" customHeight="1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spans="1:27" ht="15.75" customHeight="1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spans="1:27" ht="15.75" customHeight="1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spans="1:27" ht="15.75" customHeight="1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spans="1:27" ht="15.75" customHeight="1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spans="1:27" ht="15.75" customHeight="1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spans="1:27" ht="15.75" customHeight="1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spans="1:27" ht="15.75" customHeight="1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spans="1:27" ht="15.75" customHeight="1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spans="1:27" ht="15.75" customHeight="1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spans="1:27" ht="15.75" customHeight="1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spans="1:27" ht="15.75" customHeight="1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spans="1:27" ht="15.75" customHeight="1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spans="1:27" ht="15.75" customHeight="1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spans="1:27" ht="15.75" customHeight="1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spans="1:27" ht="15.75" customHeight="1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spans="1:27" ht="15.75" customHeight="1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spans="1:27" ht="15.75" customHeight="1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spans="1:27" ht="15.75" customHeight="1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spans="1:27" ht="15.75" customHeight="1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spans="1:27" ht="15.75" customHeight="1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spans="1:27" ht="15.75" customHeight="1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spans="1:27" ht="15.75" customHeight="1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spans="1:27" ht="15.75" customHeight="1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spans="1:27" ht="15.75" customHeight="1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spans="1:27" ht="15.75" customHeight="1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spans="1:27" ht="15.75" customHeight="1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spans="1:27" ht="15.75" customHeight="1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spans="1:27" ht="15.75" customHeight="1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spans="1:27" ht="15.75" customHeight="1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spans="1:27" ht="15.75" customHeight="1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spans="1:27" ht="15.75" customHeight="1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spans="1:27" ht="15.75" customHeight="1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spans="1:27" ht="15.75" customHeight="1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spans="1:27" ht="15.75" customHeight="1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spans="1:27" ht="15.75" customHeight="1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spans="1:27" ht="15.75" customHeight="1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spans="1:27" ht="15.75" customHeight="1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spans="1:27" ht="15.75" customHeight="1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spans="1:27" ht="15.75" customHeight="1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spans="1:27" ht="15.75" customHeight="1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spans="1:27" ht="15.75" customHeight="1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spans="1:27" ht="15.75" customHeight="1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spans="1:27" ht="15.75" customHeight="1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spans="1:27" ht="15.75" customHeight="1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spans="1:27" ht="15.75" customHeight="1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spans="1:27" ht="15.75" customHeight="1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spans="1:27" ht="15.75" customHeight="1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spans="1:27" ht="15.75" customHeight="1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spans="1:27" ht="15.75" customHeight="1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spans="1:27" ht="15.75" customHeight="1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spans="1:27" ht="15.75" customHeight="1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spans="1:27" ht="15.75" customHeight="1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spans="1:27" ht="15.75" customHeight="1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spans="1:27" ht="15.75" customHeight="1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spans="1:27" ht="15.75" customHeight="1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spans="1:27" ht="15.75" customHeight="1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spans="1:27" ht="15.75" customHeight="1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spans="1:27" ht="15.75" customHeight="1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spans="1:27" ht="15.75" customHeight="1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spans="1:27" ht="15.75" customHeight="1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spans="1:27" ht="15.75" customHeight="1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spans="1:27" ht="15.75" customHeight="1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spans="1:27" ht="15.75" customHeight="1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spans="1:27" ht="15.75" customHeight="1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spans="1:27" ht="15.75" customHeight="1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spans="1:27" ht="15.75" customHeight="1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spans="1:27" ht="15.75" customHeight="1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spans="1:27" ht="15.75" customHeight="1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spans="1:27" ht="15.75" customHeight="1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spans="1:27" ht="15.75" customHeight="1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spans="1:27" ht="15.75" customHeight="1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spans="1:27" ht="15.75" customHeight="1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spans="1:27" ht="15.75" customHeight="1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spans="1:27" ht="15.75" customHeight="1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spans="1:27" ht="15.75" customHeight="1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spans="1:27" ht="15.75" customHeight="1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spans="1:27" ht="15.75" customHeight="1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spans="1:27" ht="15.75" customHeight="1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spans="1:27" ht="15.75" customHeight="1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spans="1:27" ht="15.75" customHeight="1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spans="1:27" ht="15.75" customHeight="1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spans="1:27" ht="15.75" customHeight="1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spans="1:27" ht="15.75" customHeight="1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spans="1:27" ht="15.75" customHeight="1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spans="1:27" ht="15.75" customHeight="1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spans="1:27" ht="15.75" customHeight="1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spans="1:27" ht="15.75" customHeight="1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spans="1:27" ht="15.75" customHeight="1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spans="1:27" ht="15.75" customHeight="1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spans="1:27" ht="15.75" customHeight="1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spans="1:27" ht="15.75" customHeight="1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spans="1:27" ht="15.75" customHeight="1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spans="1:27" ht="15.75" customHeight="1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spans="1:27" ht="15.75" customHeight="1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spans="1:27" ht="15.75" customHeight="1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spans="1:27" ht="15.75" customHeight="1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spans="1:27" ht="15.75" customHeight="1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spans="1:27" ht="15.75" customHeight="1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spans="1:27" ht="15.75" customHeight="1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spans="1:27" ht="15.75" customHeight="1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spans="1:27" ht="15.75" customHeight="1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spans="1:27" ht="15.75" customHeight="1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spans="1:27" ht="15.75" customHeight="1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spans="1:27" ht="15.75" customHeight="1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spans="1:27" ht="15.75" customHeight="1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spans="1:27" ht="15.75" customHeight="1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spans="1:27" ht="15.75" customHeight="1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spans="1:27" ht="15.75" customHeight="1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spans="1:27" ht="15.75" customHeight="1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spans="1:27" ht="15.75" customHeight="1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spans="1:27" ht="15.75" customHeight="1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spans="1:27" ht="15.75" customHeight="1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spans="1:27" ht="15.75" customHeight="1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spans="1:27" ht="15.75" customHeight="1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spans="1:27" ht="15.75" customHeight="1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spans="1:27" ht="15.75" customHeight="1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spans="1:27" ht="15.75" customHeight="1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spans="1:27" ht="15.75" customHeight="1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spans="1:27" ht="15.75" customHeight="1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spans="1:27" ht="15.75" customHeight="1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spans="1:27" ht="15.75" customHeight="1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spans="1:27" ht="15.75" customHeight="1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spans="1:27" ht="15.75" customHeight="1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spans="1:27" ht="15.75" customHeight="1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spans="1:27" ht="15.75" customHeight="1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spans="1:27" ht="15.75" customHeight="1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spans="1:27" ht="15.75" customHeight="1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spans="1:27" ht="15.75" customHeight="1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spans="1:27" ht="15.75" customHeight="1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spans="1:27" ht="15.75" customHeight="1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spans="1:27" ht="15.75" customHeight="1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spans="1:27" ht="15.75" customHeight="1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spans="1:27" ht="15.75" customHeight="1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spans="1:27" ht="15.75" customHeight="1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spans="1:27" ht="15.75" customHeight="1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spans="1:27" ht="15.75" customHeight="1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spans="1:27" ht="15.75" customHeight="1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spans="1:27" ht="15.75" customHeight="1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spans="1:27" ht="15.75" customHeight="1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spans="1:27" ht="15.75" customHeight="1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spans="1:27" ht="15.75" customHeight="1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spans="1:27" ht="15.75" customHeight="1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spans="1:27" ht="15.75" customHeight="1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spans="1:27" ht="15.75" customHeight="1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spans="1:27" ht="15.75" customHeight="1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spans="1:27" ht="15.75" customHeight="1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spans="1:27" ht="15.75" customHeight="1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spans="1:27" ht="15.75" customHeight="1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spans="1:27" ht="15.75" customHeight="1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spans="1:27" ht="15.75" customHeight="1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spans="1:27" ht="15.75" customHeight="1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spans="1:27" ht="15.75" customHeight="1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spans="1:27" ht="15.75" customHeight="1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spans="1:27" ht="15.75" customHeight="1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spans="1:27" ht="15.75" customHeight="1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spans="1:27" ht="15.75" customHeight="1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spans="1:27" ht="15.75" customHeight="1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spans="1:27" ht="15.75" customHeight="1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spans="1:27" ht="15.75" customHeight="1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spans="1:27" ht="15.75" customHeight="1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spans="1:27" ht="15.75" customHeight="1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spans="1:27" ht="15.75" customHeight="1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spans="1:27" ht="15.75" customHeight="1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spans="1:27" ht="15.75" customHeight="1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spans="1:27" ht="15.75" customHeight="1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spans="1:27" ht="15.75" customHeight="1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spans="1:27" ht="15.75" customHeight="1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spans="1:27" ht="15.75" customHeight="1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spans="1:27" ht="15.75" customHeight="1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spans="1:27" ht="15.75" customHeight="1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spans="1:27" ht="15.75" customHeight="1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spans="1:27" ht="15.75" customHeight="1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spans="1:27" ht="15.75" customHeight="1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spans="1:27" ht="15.75" customHeight="1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spans="1:27" ht="15.75" customHeight="1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spans="1:27" ht="15.75" customHeight="1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spans="1:27" ht="15.75" customHeight="1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spans="1:27" ht="15.75" customHeight="1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spans="1:27" ht="15.75" customHeight="1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spans="1:27" ht="15.75" customHeight="1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spans="1:27" ht="15.75" customHeight="1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spans="1:27" ht="15.75" customHeight="1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spans="1:27" ht="15.75" customHeight="1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spans="1:27" ht="15.75" customHeight="1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spans="1:27" ht="15.75" customHeight="1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spans="1:27" ht="15.75" customHeight="1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spans="1:27" ht="15.75" customHeight="1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spans="1:27" ht="15.75" customHeight="1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spans="1:27" ht="15.75" customHeight="1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spans="1:27" ht="15.75" customHeight="1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spans="1:27" ht="15.75" customHeight="1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spans="1:27" ht="15.75" customHeight="1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spans="1:27" ht="15.75" customHeight="1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spans="1:27" ht="15.75" customHeight="1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spans="1:27" ht="15.75" customHeight="1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spans="1:27" ht="15.75" customHeight="1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spans="1:27" ht="15.75" customHeight="1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spans="1:27" ht="15.75" customHeight="1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spans="1:27" ht="15.75" customHeight="1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spans="1:27" ht="15.75" customHeight="1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spans="1:27" ht="15.75" customHeight="1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spans="1:27" ht="15.75" customHeight="1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spans="1:27" ht="15.75" customHeight="1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spans="1:27" ht="15.75" customHeight="1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spans="1:27" ht="15.75" customHeight="1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spans="1:27" ht="15.75" customHeight="1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spans="1:27" ht="15.75" customHeight="1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spans="1:27" ht="15.75" customHeight="1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spans="1:27" ht="15.75" customHeight="1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spans="1:27" ht="15.75" customHeight="1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spans="1:27" ht="15.75" customHeight="1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spans="1:27" ht="15.75" customHeight="1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spans="1:27" ht="15.75" customHeight="1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spans="1:27" ht="15.75" customHeight="1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spans="1:27" ht="15.75" customHeight="1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spans="1:27" ht="15.75" customHeight="1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spans="1:27" ht="15.75" customHeight="1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spans="1:27" ht="15.75" customHeight="1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spans="1:27" ht="15.75" customHeight="1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spans="1:27" ht="15.75" customHeight="1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spans="1:27" ht="15.75" customHeight="1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spans="1:27" ht="15.75" customHeight="1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spans="1:27" ht="15.75" customHeight="1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spans="1:27" ht="15.75" customHeight="1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spans="1:27" ht="15.75" customHeight="1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spans="1:27" ht="15.75" customHeight="1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spans="1:27" ht="15.75" customHeight="1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spans="1:27" ht="15.75" customHeight="1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spans="1:27" ht="15.75" customHeight="1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spans="1:27" ht="15.75" customHeight="1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spans="1:27" ht="15.75" customHeight="1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spans="1:27" ht="15.75" customHeight="1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spans="1:27" ht="15.75" customHeight="1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spans="1:27" ht="15.75" customHeight="1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spans="1:27" ht="15.75" customHeight="1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spans="1:27" ht="15.75" customHeight="1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spans="1:27" ht="15.75" customHeight="1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spans="1:27" ht="15.75" customHeight="1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spans="1:27" ht="15.75" customHeight="1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spans="1:27" ht="15.75" customHeight="1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spans="1:27" ht="15.75" customHeight="1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spans="1:27" ht="15.75" customHeight="1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spans="1:27" ht="15.75" customHeight="1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spans="1:27" ht="15.75" customHeight="1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spans="1:27" ht="15.75" customHeight="1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spans="1:27" ht="15.75" customHeight="1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spans="1:27" ht="15.75" customHeight="1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spans="1:27" ht="15.75" customHeight="1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spans="1:27" ht="15.75" customHeight="1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spans="1:27" ht="15.75" customHeight="1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spans="1:27" ht="15.75" customHeight="1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spans="1:27" ht="15.75" customHeight="1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spans="1:27" ht="15.75" customHeight="1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spans="1:27" ht="15.75" customHeight="1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spans="1:27" ht="15.75" customHeight="1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spans="1:27" ht="15.75" customHeight="1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spans="1:27" ht="15.75" customHeight="1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spans="1:27" ht="15.75" customHeight="1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spans="1:27" ht="15.75" customHeight="1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spans="1:27" ht="15.75" customHeight="1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spans="1:27" ht="15.75" customHeight="1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spans="1:27" ht="15.75" customHeight="1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spans="1:27" ht="15.75" customHeight="1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spans="1:27" ht="15.75" customHeight="1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spans="1:27" ht="15.75" customHeight="1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spans="1:27" ht="15.75" customHeight="1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spans="1:27" ht="15.75" customHeight="1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spans="1:27" ht="15.75" customHeight="1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spans="1:27" ht="15.75" customHeight="1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spans="1:27" ht="15.75" customHeight="1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spans="1:27" ht="15.75" customHeight="1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spans="1:27" ht="15.75" customHeight="1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spans="1:27" ht="15.75" customHeight="1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spans="1:27" ht="15.75" customHeight="1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spans="1:27" ht="15.75" customHeight="1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spans="1:27" ht="15.75" customHeight="1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spans="1:27" ht="15.75" customHeight="1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spans="1:27" ht="15.75" customHeight="1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spans="1:27" ht="15.75" customHeight="1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spans="1:27" ht="15.75" customHeight="1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spans="1:27" ht="15.75" customHeight="1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spans="1:27" ht="15.75" customHeight="1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spans="1:27" ht="15.75" customHeight="1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spans="1:27" ht="15.75" customHeight="1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spans="1:27" ht="15.75" customHeight="1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spans="1:27" ht="15.75" customHeight="1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spans="1:27" ht="15.75" customHeight="1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spans="1:27" ht="15.75" customHeight="1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spans="1:27" ht="15.75" customHeight="1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spans="1:27" ht="15.75" customHeight="1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spans="1:27" ht="15.75" customHeight="1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spans="1:27" ht="15.75" customHeight="1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spans="1:27" ht="15.75" customHeight="1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spans="1:27" ht="15.75" customHeight="1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spans="1:27" ht="15.75" customHeight="1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spans="1:27" ht="15.75" customHeight="1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spans="1:27" ht="15.75" customHeight="1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spans="1:27" ht="15.75" customHeight="1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spans="1:27" ht="15.75" customHeight="1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spans="1:27" ht="15.75" customHeight="1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spans="1:27" ht="15.75" customHeight="1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spans="1:27" ht="15.75" customHeight="1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spans="1:27" ht="15.75" customHeight="1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spans="1:27" ht="15.75" customHeight="1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spans="1:27" ht="15.75" customHeight="1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spans="1:27" ht="15.75" customHeight="1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spans="1:27" ht="15.75" customHeight="1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spans="1:27" ht="15.75" customHeight="1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spans="1:27" ht="15.75" customHeight="1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spans="1:27" ht="15.75" customHeight="1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spans="1:27" ht="15.75" customHeight="1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spans="1:27" ht="15.75" customHeight="1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spans="1:27" ht="15.75" customHeight="1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spans="1:27" ht="15.75" customHeight="1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spans="1:27" ht="15.75" customHeight="1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spans="1:27" ht="15.75" customHeight="1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spans="1:27" ht="15.75" customHeight="1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spans="1:27" ht="15.75" customHeight="1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spans="1:27" ht="15.75" customHeight="1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spans="1:27" ht="15.75" customHeight="1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spans="1:27" ht="15.75" customHeight="1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spans="1:27" ht="15.75" customHeight="1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spans="1:27" ht="15.75" customHeight="1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spans="1:27" ht="15.75" customHeight="1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spans="1:27" ht="15.75" customHeight="1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spans="1:27" ht="15.75" customHeight="1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spans="1:27" ht="15.75" customHeight="1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spans="1:27" ht="15.75" customHeight="1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spans="1:27" ht="15.75" customHeight="1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spans="1:27" ht="15.75" customHeight="1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spans="1:27" ht="15.75" customHeight="1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spans="1:27" ht="15.75" customHeight="1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spans="1:27" ht="15.75" customHeight="1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spans="1:27" ht="15.75" customHeight="1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spans="1:27" ht="15.75" customHeight="1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spans="1:27" ht="15.75" customHeight="1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spans="1:27" ht="15.75" customHeight="1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spans="1:27" ht="15.75" customHeight="1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spans="1:27" ht="15.75" customHeight="1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spans="1:27" ht="15.75" customHeight="1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spans="1:27" ht="15.75" customHeight="1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spans="1:27" ht="15.75" customHeight="1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spans="1:27" ht="15.75" customHeight="1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spans="1:27" ht="15.75" customHeight="1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spans="1:27" ht="15.75" customHeight="1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spans="1:27" ht="15.75" customHeight="1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spans="1:27" ht="15.75" customHeight="1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spans="1:27" ht="15.75" customHeight="1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spans="1:27" ht="15.75" customHeight="1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spans="1:27" ht="15.75" customHeight="1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spans="1:27" ht="15.75" customHeight="1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spans="1:27" ht="15.75" customHeight="1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spans="1:27" ht="15.75" customHeight="1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spans="1:27" ht="15.75" customHeight="1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spans="1:27" ht="15.75" customHeight="1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spans="1:27" ht="15.75" customHeight="1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spans="1:27" ht="15.75" customHeight="1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spans="1:27" ht="15.75" customHeight="1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spans="1:27" ht="15.75" customHeight="1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spans="1:27" ht="15.75" customHeight="1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spans="1:27" ht="15.75" customHeight="1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spans="1:27" ht="15.75" customHeight="1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spans="1:27" ht="15.75" customHeight="1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spans="1:27" ht="15.75" customHeight="1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spans="1:27" ht="15.75" customHeight="1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spans="1:27" ht="15.75" customHeight="1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spans="1:27" ht="15.75" customHeight="1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spans="1:27" ht="15.75" customHeight="1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spans="1:27" ht="15.75" customHeight="1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spans="1:27" ht="15.75" customHeight="1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spans="1:27" ht="15.75" customHeight="1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spans="1:27" ht="15.75" customHeight="1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spans="1:27" ht="15.75" customHeight="1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spans="1:27" ht="15.75" customHeight="1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spans="1:27" ht="15.75" customHeight="1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spans="1:27" ht="15.75" customHeight="1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spans="1:27" ht="15.75" customHeight="1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spans="1:27" ht="15.75" customHeight="1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spans="1:27" ht="15.75" customHeight="1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spans="1:27" ht="15.75" customHeight="1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spans="1:27" ht="15.75" customHeight="1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spans="1:27" ht="15.75" customHeight="1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spans="1:27" ht="15.75" customHeight="1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spans="1:27" ht="15.75" customHeight="1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spans="1:27" ht="15.75" customHeight="1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spans="1:27" ht="15.75" customHeight="1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spans="1:27" ht="15.75" customHeight="1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spans="1:27" ht="15.75" customHeight="1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spans="1:27" ht="15.75" customHeight="1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spans="1:27" ht="15.75" customHeight="1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spans="1:27" ht="15.75" customHeight="1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spans="1:27" ht="15.75" customHeight="1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spans="1:27" ht="15.75" customHeight="1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spans="1:27" ht="15.75" customHeight="1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spans="1:27" ht="15.75" customHeight="1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spans="1:27" ht="15.75" customHeight="1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spans="1:27" ht="15.75" customHeight="1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spans="1:27" ht="15.75" customHeight="1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spans="1:27" ht="15.75" customHeight="1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spans="1:27" ht="15.75" customHeight="1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spans="1:27" ht="15.75" customHeight="1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spans="1:27" ht="15.75" customHeight="1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spans="1:27" ht="15.75" customHeight="1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spans="1:27" ht="15.75" customHeight="1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spans="1:27" ht="15.75" customHeight="1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spans="1:27" ht="15.75" customHeight="1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spans="1:27" ht="15.75" customHeight="1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spans="1:27" ht="15.75" customHeight="1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spans="1:27" ht="15.75" customHeight="1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spans="1:27" ht="15.75" customHeight="1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spans="1:27" ht="15.75" customHeight="1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spans="1:27" ht="15.75" customHeight="1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spans="1:27" ht="15.75" customHeight="1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spans="1:27" ht="15.75" customHeight="1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spans="1:27" ht="15.75" customHeight="1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spans="1:27" ht="15.75" customHeight="1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spans="1:27" ht="15.75" customHeight="1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spans="1:27" ht="15.75" customHeight="1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spans="1:27" ht="15.75" customHeight="1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spans="1:27" ht="15.75" customHeight="1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spans="1:27" ht="15.75" customHeight="1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spans="1:27" ht="15.75" customHeight="1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spans="1:27" ht="15.75" customHeight="1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spans="1:27" ht="15.75" customHeight="1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spans="1:27" ht="15.75" customHeight="1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spans="1:27" ht="15.75" customHeight="1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spans="1:27" ht="15.75" customHeight="1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spans="1:27" ht="15.75" customHeight="1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spans="1:27" ht="15.75" customHeight="1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spans="1:27" ht="15.75" customHeight="1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spans="1:27" ht="15.75" customHeight="1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spans="1:27" ht="15.75" customHeight="1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spans="1:27" ht="15.75" customHeight="1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spans="1:27" ht="15.75" customHeight="1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  <row r="1001" spans="1:27" ht="15.75" customHeight="1" x14ac:dyDescent="0.25">
      <c r="A1001" s="102"/>
      <c r="B1001" s="102"/>
      <c r="C1001" s="102"/>
      <c r="D1001" s="102"/>
      <c r="E1001" s="102"/>
      <c r="F1001" s="102"/>
      <c r="G1001" s="102"/>
      <c r="H1001" s="102"/>
      <c r="I1001" s="102"/>
      <c r="J1001" s="102"/>
      <c r="K1001" s="102"/>
      <c r="L1001" s="102"/>
      <c r="M1001" s="102"/>
      <c r="N1001" s="102"/>
      <c r="O1001" s="102"/>
      <c r="P1001" s="102"/>
      <c r="Q1001" s="102"/>
      <c r="R1001" s="102"/>
      <c r="S1001" s="102"/>
      <c r="T1001" s="102"/>
      <c r="U1001" s="102"/>
      <c r="V1001" s="102"/>
      <c r="W1001" s="102"/>
      <c r="X1001" s="102"/>
      <c r="Y1001" s="102"/>
      <c r="Z1001" s="102"/>
      <c r="AA1001" s="102"/>
    </row>
    <row r="1002" spans="1:27" ht="15.75" customHeight="1" x14ac:dyDescent="0.25">
      <c r="A1002" s="102"/>
      <c r="B1002" s="102"/>
      <c r="C1002" s="102"/>
      <c r="D1002" s="102"/>
      <c r="E1002" s="102"/>
      <c r="F1002" s="102"/>
      <c r="G1002" s="102"/>
      <c r="H1002" s="102"/>
      <c r="I1002" s="102"/>
      <c r="J1002" s="102"/>
      <c r="K1002" s="102"/>
      <c r="L1002" s="102"/>
      <c r="M1002" s="102"/>
      <c r="N1002" s="102"/>
      <c r="O1002" s="102"/>
      <c r="P1002" s="102"/>
      <c r="Q1002" s="102"/>
      <c r="R1002" s="102"/>
      <c r="S1002" s="102"/>
      <c r="T1002" s="102"/>
      <c r="U1002" s="102"/>
      <c r="V1002" s="102"/>
      <c r="W1002" s="102"/>
      <c r="X1002" s="102"/>
      <c r="Y1002" s="102"/>
      <c r="Z1002" s="102"/>
      <c r="AA1002" s="102"/>
    </row>
  </sheetData>
  <mergeCells count="8">
    <mergeCell ref="C6:I6"/>
    <mergeCell ref="B1:I1"/>
    <mergeCell ref="C3:D3"/>
    <mergeCell ref="E3:G3"/>
    <mergeCell ref="C4:D4"/>
    <mergeCell ref="E4:G4"/>
    <mergeCell ref="C5:D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1. Login</vt:lpstr>
      <vt:lpstr>2. Register</vt:lpstr>
      <vt:lpstr>3. Search</vt:lpstr>
      <vt:lpstr>4. Shopping Cart </vt:lpstr>
      <vt:lpstr>5. Form Validation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2026-09-23T07:55:01Z</dcterms:modified>
</cp:coreProperties>
</file>